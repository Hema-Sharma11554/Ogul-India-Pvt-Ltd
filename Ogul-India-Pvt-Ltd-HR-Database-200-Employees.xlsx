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mma\Desktop\Hemlata Sharma\Business Analysis_Client's_Delivery_Dashboards\Ogul india Pvt Ltd\"/>
    </mc:Choice>
  </mc:AlternateContent>
  <xr:revisionPtr revIDLastSave="0" documentId="13_ncr:1_{CF949FB8-AE7C-4FDA-90A8-26FA9EFDF93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R_Data" sheetId="1" r:id="rId1"/>
    <sheet name="Dashboard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L18" i="1"/>
  <c r="L72" i="1"/>
  <c r="L199" i="1"/>
  <c r="L39" i="1"/>
  <c r="L125" i="1"/>
  <c r="L15" i="1"/>
  <c r="L164" i="1"/>
  <c r="L68" i="1"/>
  <c r="L81" i="1"/>
  <c r="L61" i="1"/>
  <c r="L154" i="1"/>
  <c r="L157" i="1"/>
  <c r="L126" i="1"/>
  <c r="L55" i="1"/>
  <c r="L98" i="1"/>
  <c r="L75" i="1"/>
  <c r="L43" i="1"/>
  <c r="L116" i="1"/>
  <c r="L71" i="1"/>
  <c r="L176" i="1"/>
  <c r="L201" i="1"/>
  <c r="L170" i="1"/>
  <c r="L77" i="1"/>
  <c r="L114" i="1"/>
  <c r="L24" i="1"/>
  <c r="L85" i="1"/>
  <c r="L192" i="1"/>
  <c r="L196" i="1"/>
  <c r="L80" i="1"/>
  <c r="L128" i="1"/>
  <c r="L140" i="1"/>
  <c r="L146" i="1"/>
  <c r="L162" i="1"/>
  <c r="L150" i="1"/>
  <c r="L107" i="1"/>
  <c r="L121" i="1"/>
  <c r="L76" i="1"/>
  <c r="L200" i="1"/>
  <c r="L122" i="1"/>
  <c r="L167" i="1"/>
  <c r="L173" i="1"/>
  <c r="L58" i="1"/>
  <c r="L131" i="1"/>
  <c r="L163" i="1"/>
  <c r="L54" i="1"/>
  <c r="L189" i="1"/>
  <c r="L102" i="1"/>
  <c r="L47" i="1"/>
  <c r="L138" i="1"/>
  <c r="L9" i="1"/>
  <c r="L96" i="1"/>
  <c r="L94" i="1"/>
  <c r="L132" i="1"/>
  <c r="L106" i="1"/>
  <c r="L29" i="1"/>
  <c r="L100" i="1"/>
  <c r="L187" i="1"/>
  <c r="L60" i="1"/>
  <c r="L90" i="1"/>
  <c r="L117" i="1"/>
  <c r="L13" i="1"/>
  <c r="L69" i="1"/>
  <c r="L99" i="1"/>
  <c r="L97" i="1"/>
  <c r="L10" i="1"/>
  <c r="L186" i="1"/>
  <c r="L44" i="1"/>
  <c r="L88" i="1"/>
  <c r="L83" i="1"/>
  <c r="L11" i="1"/>
  <c r="L86" i="1"/>
  <c r="L135" i="1"/>
  <c r="L168" i="1"/>
  <c r="L158" i="1"/>
  <c r="L49" i="1"/>
  <c r="L52" i="1"/>
  <c r="L120" i="1"/>
  <c r="L5" i="1"/>
  <c r="L50" i="1"/>
  <c r="L194" i="1"/>
  <c r="L65" i="1"/>
  <c r="L34" i="1"/>
  <c r="L195" i="1"/>
  <c r="L175" i="1"/>
  <c r="L174" i="1"/>
  <c r="L62" i="1"/>
  <c r="L156" i="1"/>
  <c r="L79" i="1"/>
  <c r="L87" i="1"/>
  <c r="L21" i="1"/>
  <c r="L20" i="1"/>
  <c r="L183" i="1"/>
  <c r="L151" i="1"/>
  <c r="L19" i="1"/>
  <c r="L92" i="1"/>
  <c r="L108" i="1"/>
  <c r="L38" i="1"/>
  <c r="L115" i="1"/>
  <c r="L172" i="1"/>
  <c r="L63" i="1"/>
  <c r="L152" i="1"/>
  <c r="L143" i="1"/>
  <c r="L134" i="1"/>
  <c r="L129" i="1"/>
  <c r="L37" i="1"/>
  <c r="L159" i="1"/>
  <c r="L82" i="1"/>
  <c r="L101" i="1"/>
  <c r="L26" i="1"/>
  <c r="L184" i="1"/>
  <c r="L35" i="1"/>
  <c r="L33" i="1"/>
  <c r="L169" i="1"/>
  <c r="L165" i="1"/>
  <c r="L73" i="1"/>
  <c r="L41" i="1"/>
  <c r="L104" i="1"/>
  <c r="L45" i="1"/>
  <c r="L103" i="1"/>
  <c r="L17" i="1"/>
  <c r="L178" i="1"/>
  <c r="L166" i="1"/>
  <c r="L95" i="1"/>
  <c r="L2" i="1"/>
  <c r="L111" i="1"/>
  <c r="L185" i="1"/>
  <c r="L153" i="1"/>
  <c r="L198" i="1"/>
  <c r="L70" i="1"/>
  <c r="L179" i="1"/>
  <c r="L144" i="1"/>
  <c r="L110" i="1"/>
  <c r="L180" i="1"/>
  <c r="L23" i="1"/>
  <c r="L197" i="1"/>
  <c r="L148" i="1"/>
  <c r="L193" i="1"/>
  <c r="L8" i="1"/>
  <c r="L147" i="1"/>
  <c r="L30" i="1"/>
  <c r="L91" i="1"/>
  <c r="L59" i="1"/>
  <c r="L40" i="1"/>
  <c r="L118" i="1"/>
  <c r="L31" i="1"/>
  <c r="L181" i="1"/>
  <c r="L57" i="1"/>
  <c r="L12" i="1"/>
  <c r="L48" i="1"/>
  <c r="L113" i="1"/>
  <c r="L22" i="1"/>
  <c r="L7" i="1"/>
  <c r="L4" i="1"/>
  <c r="L112" i="1"/>
  <c r="L46" i="1"/>
  <c r="L137" i="1"/>
  <c r="L3" i="1"/>
  <c r="L145" i="1"/>
  <c r="L139" i="1"/>
  <c r="L149" i="1"/>
  <c r="L141" i="1"/>
  <c r="L160" i="1"/>
  <c r="L161" i="1"/>
  <c r="L105" i="1"/>
  <c r="L93" i="1"/>
  <c r="L6" i="1"/>
  <c r="L56" i="1"/>
  <c r="L182" i="1"/>
  <c r="L66" i="1"/>
  <c r="L74" i="1"/>
  <c r="L16" i="1"/>
  <c r="L84" i="1"/>
  <c r="L14" i="1"/>
  <c r="L119" i="1"/>
  <c r="L89" i="1"/>
  <c r="L25" i="1"/>
  <c r="L109" i="1"/>
  <c r="L78" i="1"/>
  <c r="L36" i="1"/>
  <c r="L191" i="1"/>
  <c r="L136" i="1"/>
  <c r="L64" i="1"/>
  <c r="L177" i="1"/>
  <c r="L67" i="1"/>
  <c r="L53" i="1"/>
  <c r="L190" i="1"/>
  <c r="L27" i="1"/>
  <c r="L123" i="1"/>
  <c r="L28" i="1"/>
  <c r="L188" i="1"/>
  <c r="L32" i="1"/>
  <c r="L142" i="1"/>
  <c r="L133" i="1"/>
  <c r="L155" i="1"/>
  <c r="L171" i="1"/>
  <c r="L124" i="1"/>
  <c r="L127" i="1"/>
  <c r="L42" i="1"/>
  <c r="L51" i="1"/>
  <c r="L130" i="1"/>
  <c r="I18" i="1"/>
  <c r="K18" i="1" s="1"/>
  <c r="I72" i="1"/>
  <c r="K72" i="1" s="1"/>
  <c r="I199" i="1"/>
  <c r="K199" i="1" s="1"/>
  <c r="I39" i="1"/>
  <c r="K39" i="1" s="1"/>
  <c r="I125" i="1"/>
  <c r="K125" i="1" s="1"/>
  <c r="I15" i="1"/>
  <c r="K15" i="1" s="1"/>
  <c r="I164" i="1"/>
  <c r="K164" i="1" s="1"/>
  <c r="I68" i="1"/>
  <c r="K68" i="1" s="1"/>
  <c r="I81" i="1"/>
  <c r="K81" i="1" s="1"/>
  <c r="I61" i="1"/>
  <c r="K61" i="1" s="1"/>
  <c r="I154" i="1"/>
  <c r="K154" i="1" s="1"/>
  <c r="I157" i="1"/>
  <c r="K157" i="1" s="1"/>
  <c r="I126" i="1"/>
  <c r="K126" i="1" s="1"/>
  <c r="I55" i="1"/>
  <c r="K55" i="1" s="1"/>
  <c r="I98" i="1"/>
  <c r="K98" i="1" s="1"/>
  <c r="I75" i="1"/>
  <c r="K75" i="1" s="1"/>
  <c r="I43" i="1"/>
  <c r="K43" i="1" s="1"/>
  <c r="I116" i="1"/>
  <c r="K116" i="1" s="1"/>
  <c r="I71" i="1"/>
  <c r="K71" i="1" s="1"/>
  <c r="I176" i="1"/>
  <c r="K176" i="1" s="1"/>
  <c r="I201" i="1"/>
  <c r="K201" i="1" s="1"/>
  <c r="I170" i="1"/>
  <c r="K170" i="1" s="1"/>
  <c r="I77" i="1"/>
  <c r="K77" i="1" s="1"/>
  <c r="I114" i="1"/>
  <c r="K114" i="1" s="1"/>
  <c r="I24" i="1"/>
  <c r="K24" i="1" s="1"/>
  <c r="I85" i="1"/>
  <c r="K85" i="1" s="1"/>
  <c r="I192" i="1"/>
  <c r="K192" i="1" s="1"/>
  <c r="I196" i="1"/>
  <c r="K196" i="1" s="1"/>
  <c r="I80" i="1"/>
  <c r="K80" i="1" s="1"/>
  <c r="I128" i="1"/>
  <c r="K128" i="1" s="1"/>
  <c r="I140" i="1"/>
  <c r="K140" i="1" s="1"/>
  <c r="I146" i="1"/>
  <c r="K146" i="1" s="1"/>
  <c r="I162" i="1"/>
  <c r="K162" i="1" s="1"/>
  <c r="I150" i="1"/>
  <c r="K150" i="1" s="1"/>
  <c r="I107" i="1"/>
  <c r="K107" i="1" s="1"/>
  <c r="I121" i="1"/>
  <c r="K121" i="1" s="1"/>
  <c r="I76" i="1"/>
  <c r="K76" i="1" s="1"/>
  <c r="I200" i="1"/>
  <c r="K200" i="1" s="1"/>
  <c r="I122" i="1"/>
  <c r="K122" i="1" s="1"/>
  <c r="I167" i="1"/>
  <c r="K167" i="1" s="1"/>
  <c r="I173" i="1"/>
  <c r="K173" i="1" s="1"/>
  <c r="I58" i="1"/>
  <c r="K58" i="1" s="1"/>
  <c r="I131" i="1"/>
  <c r="K131" i="1" s="1"/>
  <c r="I163" i="1"/>
  <c r="K163" i="1" s="1"/>
  <c r="I54" i="1"/>
  <c r="K54" i="1" s="1"/>
  <c r="I189" i="1"/>
  <c r="K189" i="1" s="1"/>
  <c r="I102" i="1"/>
  <c r="K102" i="1" s="1"/>
  <c r="I47" i="1"/>
  <c r="K47" i="1" s="1"/>
  <c r="I138" i="1"/>
  <c r="K138" i="1" s="1"/>
  <c r="I9" i="1"/>
  <c r="K9" i="1" s="1"/>
  <c r="I96" i="1"/>
  <c r="K96" i="1" s="1"/>
  <c r="I94" i="1"/>
  <c r="K94" i="1" s="1"/>
  <c r="I132" i="1"/>
  <c r="K132" i="1" s="1"/>
  <c r="I106" i="1"/>
  <c r="K106" i="1" s="1"/>
  <c r="I29" i="1"/>
  <c r="K29" i="1" s="1"/>
  <c r="I100" i="1"/>
  <c r="K100" i="1" s="1"/>
  <c r="I187" i="1"/>
  <c r="K187" i="1" s="1"/>
  <c r="I60" i="1"/>
  <c r="K60" i="1" s="1"/>
  <c r="I90" i="1"/>
  <c r="K90" i="1" s="1"/>
  <c r="I117" i="1"/>
  <c r="K117" i="1" s="1"/>
  <c r="I13" i="1"/>
  <c r="K13" i="1" s="1"/>
  <c r="I69" i="1"/>
  <c r="K69" i="1" s="1"/>
  <c r="I99" i="1"/>
  <c r="K99" i="1" s="1"/>
  <c r="I97" i="1"/>
  <c r="K97" i="1" s="1"/>
  <c r="I10" i="1"/>
  <c r="K10" i="1" s="1"/>
  <c r="I186" i="1"/>
  <c r="K186" i="1" s="1"/>
  <c r="I44" i="1"/>
  <c r="K44" i="1" s="1"/>
  <c r="I88" i="1"/>
  <c r="K88" i="1" s="1"/>
  <c r="I83" i="1"/>
  <c r="K83" i="1" s="1"/>
  <c r="I11" i="1"/>
  <c r="K11" i="1" s="1"/>
  <c r="I86" i="1"/>
  <c r="K86" i="1" s="1"/>
  <c r="I135" i="1"/>
  <c r="K135" i="1" s="1"/>
  <c r="I168" i="1"/>
  <c r="K168" i="1" s="1"/>
  <c r="I158" i="1"/>
  <c r="K158" i="1" s="1"/>
  <c r="I49" i="1"/>
  <c r="K49" i="1" s="1"/>
  <c r="I52" i="1"/>
  <c r="K52" i="1" s="1"/>
  <c r="I120" i="1"/>
  <c r="K120" i="1" s="1"/>
  <c r="I5" i="1"/>
  <c r="K5" i="1" s="1"/>
  <c r="I50" i="1"/>
  <c r="K50" i="1" s="1"/>
  <c r="I194" i="1"/>
  <c r="K194" i="1" s="1"/>
  <c r="I65" i="1"/>
  <c r="K65" i="1" s="1"/>
  <c r="I34" i="1"/>
  <c r="K34" i="1" s="1"/>
  <c r="I195" i="1"/>
  <c r="K195" i="1" s="1"/>
  <c r="I175" i="1"/>
  <c r="K175" i="1" s="1"/>
  <c r="I174" i="1"/>
  <c r="K174" i="1" s="1"/>
  <c r="I62" i="1"/>
  <c r="K62" i="1" s="1"/>
  <c r="I156" i="1"/>
  <c r="K156" i="1" s="1"/>
  <c r="I79" i="1"/>
  <c r="K79" i="1" s="1"/>
  <c r="I87" i="1"/>
  <c r="K87" i="1" s="1"/>
  <c r="I21" i="1"/>
  <c r="K21" i="1" s="1"/>
  <c r="I20" i="1"/>
  <c r="K20" i="1" s="1"/>
  <c r="I183" i="1"/>
  <c r="K183" i="1" s="1"/>
  <c r="I151" i="1"/>
  <c r="K151" i="1" s="1"/>
  <c r="I19" i="1"/>
  <c r="K19" i="1" s="1"/>
  <c r="I92" i="1"/>
  <c r="K92" i="1" s="1"/>
  <c r="I108" i="1"/>
  <c r="K108" i="1" s="1"/>
  <c r="I38" i="1"/>
  <c r="K38" i="1" s="1"/>
  <c r="I115" i="1"/>
  <c r="K115" i="1" s="1"/>
  <c r="I172" i="1"/>
  <c r="K172" i="1" s="1"/>
  <c r="I63" i="1"/>
  <c r="K63" i="1" s="1"/>
  <c r="I152" i="1"/>
  <c r="K152" i="1" s="1"/>
  <c r="I143" i="1"/>
  <c r="K143" i="1" s="1"/>
  <c r="I134" i="1"/>
  <c r="K134" i="1" s="1"/>
  <c r="I129" i="1"/>
  <c r="K129" i="1" s="1"/>
  <c r="I37" i="1"/>
  <c r="K37" i="1" s="1"/>
  <c r="I159" i="1"/>
  <c r="K159" i="1" s="1"/>
  <c r="I82" i="1"/>
  <c r="K82" i="1" s="1"/>
  <c r="I101" i="1"/>
  <c r="K101" i="1" s="1"/>
  <c r="I26" i="1"/>
  <c r="K26" i="1" s="1"/>
  <c r="I184" i="1"/>
  <c r="K184" i="1" s="1"/>
  <c r="I35" i="1"/>
  <c r="K35" i="1" s="1"/>
  <c r="I33" i="1"/>
  <c r="K33" i="1" s="1"/>
  <c r="I169" i="1"/>
  <c r="K169" i="1" s="1"/>
  <c r="I165" i="1"/>
  <c r="K165" i="1" s="1"/>
  <c r="I73" i="1"/>
  <c r="K73" i="1" s="1"/>
  <c r="I41" i="1"/>
  <c r="K41" i="1" s="1"/>
  <c r="I104" i="1"/>
  <c r="K104" i="1" s="1"/>
  <c r="I45" i="1"/>
  <c r="K45" i="1" s="1"/>
  <c r="I103" i="1"/>
  <c r="K103" i="1" s="1"/>
  <c r="I17" i="1"/>
  <c r="K17" i="1" s="1"/>
  <c r="I178" i="1"/>
  <c r="K178" i="1" s="1"/>
  <c r="I166" i="1"/>
  <c r="K166" i="1" s="1"/>
  <c r="I95" i="1"/>
  <c r="K95" i="1" s="1"/>
  <c r="I2" i="1"/>
  <c r="K2" i="1" s="1"/>
  <c r="I111" i="1"/>
  <c r="K111" i="1" s="1"/>
  <c r="I185" i="1"/>
  <c r="K185" i="1" s="1"/>
  <c r="I153" i="1"/>
  <c r="K153" i="1" s="1"/>
  <c r="I198" i="1"/>
  <c r="K198" i="1" s="1"/>
  <c r="I70" i="1"/>
  <c r="K70" i="1" s="1"/>
  <c r="I179" i="1"/>
  <c r="K179" i="1" s="1"/>
  <c r="I144" i="1"/>
  <c r="K144" i="1" s="1"/>
  <c r="I110" i="1"/>
  <c r="K110" i="1" s="1"/>
  <c r="I180" i="1"/>
  <c r="K180" i="1" s="1"/>
  <c r="I23" i="1"/>
  <c r="K23" i="1" s="1"/>
  <c r="I197" i="1"/>
  <c r="K197" i="1" s="1"/>
  <c r="I148" i="1"/>
  <c r="K148" i="1" s="1"/>
  <c r="I193" i="1"/>
  <c r="K193" i="1" s="1"/>
  <c r="I8" i="1"/>
  <c r="K8" i="1" s="1"/>
  <c r="I147" i="1"/>
  <c r="K147" i="1" s="1"/>
  <c r="I30" i="1"/>
  <c r="K30" i="1" s="1"/>
  <c r="I91" i="1"/>
  <c r="K91" i="1" s="1"/>
  <c r="I59" i="1"/>
  <c r="K59" i="1" s="1"/>
  <c r="I40" i="1"/>
  <c r="K40" i="1" s="1"/>
  <c r="I118" i="1"/>
  <c r="K118" i="1" s="1"/>
  <c r="I31" i="1"/>
  <c r="K31" i="1" s="1"/>
  <c r="I181" i="1"/>
  <c r="K181" i="1" s="1"/>
  <c r="I57" i="1"/>
  <c r="K57" i="1" s="1"/>
  <c r="I12" i="1"/>
  <c r="K12" i="1" s="1"/>
  <c r="I48" i="1"/>
  <c r="K48" i="1" s="1"/>
  <c r="I113" i="1"/>
  <c r="K113" i="1" s="1"/>
  <c r="I22" i="1"/>
  <c r="K22" i="1" s="1"/>
  <c r="I7" i="1"/>
  <c r="K7" i="1" s="1"/>
  <c r="I4" i="1"/>
  <c r="K4" i="1" s="1"/>
  <c r="I112" i="1"/>
  <c r="K112" i="1" s="1"/>
  <c r="I46" i="1"/>
  <c r="K46" i="1" s="1"/>
  <c r="I137" i="1"/>
  <c r="K137" i="1" s="1"/>
  <c r="I3" i="1"/>
  <c r="K3" i="1" s="1"/>
  <c r="I145" i="1"/>
  <c r="K145" i="1" s="1"/>
  <c r="I139" i="1"/>
  <c r="K139" i="1" s="1"/>
  <c r="I149" i="1"/>
  <c r="K149" i="1" s="1"/>
  <c r="I141" i="1"/>
  <c r="K141" i="1" s="1"/>
  <c r="I160" i="1"/>
  <c r="K160" i="1" s="1"/>
  <c r="I161" i="1"/>
  <c r="K161" i="1" s="1"/>
  <c r="I105" i="1"/>
  <c r="K105" i="1" s="1"/>
  <c r="I93" i="1"/>
  <c r="K93" i="1" s="1"/>
  <c r="I6" i="1"/>
  <c r="K6" i="1" s="1"/>
  <c r="I56" i="1"/>
  <c r="K56" i="1" s="1"/>
  <c r="I182" i="1"/>
  <c r="K182" i="1" s="1"/>
  <c r="I66" i="1"/>
  <c r="K66" i="1" s="1"/>
  <c r="I74" i="1"/>
  <c r="K74" i="1" s="1"/>
  <c r="I16" i="1"/>
  <c r="K16" i="1" s="1"/>
  <c r="I84" i="1"/>
  <c r="K84" i="1" s="1"/>
  <c r="I14" i="1"/>
  <c r="K14" i="1" s="1"/>
  <c r="I119" i="1"/>
  <c r="K119" i="1" s="1"/>
  <c r="I89" i="1"/>
  <c r="K89" i="1" s="1"/>
  <c r="I25" i="1"/>
  <c r="K25" i="1" s="1"/>
  <c r="I109" i="1"/>
  <c r="K109" i="1" s="1"/>
  <c r="I78" i="1"/>
  <c r="K78" i="1" s="1"/>
  <c r="I36" i="1"/>
  <c r="K36" i="1" s="1"/>
  <c r="I191" i="1"/>
  <c r="K191" i="1" s="1"/>
  <c r="I136" i="1"/>
  <c r="K136" i="1" s="1"/>
  <c r="I64" i="1"/>
  <c r="K64" i="1" s="1"/>
  <c r="I177" i="1"/>
  <c r="K177" i="1" s="1"/>
  <c r="I67" i="1"/>
  <c r="K67" i="1" s="1"/>
  <c r="I53" i="1"/>
  <c r="K53" i="1" s="1"/>
  <c r="I190" i="1"/>
  <c r="K190" i="1" s="1"/>
  <c r="I27" i="1"/>
  <c r="K27" i="1" s="1"/>
  <c r="I123" i="1"/>
  <c r="K123" i="1" s="1"/>
  <c r="I28" i="1"/>
  <c r="K28" i="1" s="1"/>
  <c r="I188" i="1"/>
  <c r="K188" i="1" s="1"/>
  <c r="I32" i="1"/>
  <c r="K32" i="1" s="1"/>
  <c r="I142" i="1"/>
  <c r="K142" i="1" s="1"/>
  <c r="I133" i="1"/>
  <c r="K133" i="1" s="1"/>
  <c r="I155" i="1"/>
  <c r="K155" i="1" s="1"/>
  <c r="I171" i="1"/>
  <c r="K171" i="1" s="1"/>
  <c r="I124" i="1"/>
  <c r="K124" i="1" s="1"/>
  <c r="I127" i="1"/>
  <c r="K127" i="1" s="1"/>
  <c r="I42" i="1"/>
  <c r="K42" i="1" s="1"/>
  <c r="I51" i="1"/>
  <c r="K51" i="1" s="1"/>
  <c r="I130" i="1"/>
  <c r="K130" i="1" s="1"/>
  <c r="C9" i="2"/>
  <c r="J42" i="1" l="1" a="1"/>
  <c r="J42" i="1" s="1"/>
  <c r="J142" i="1" a="1"/>
  <c r="J142" i="1" s="1"/>
  <c r="J190" i="1" a="1"/>
  <c r="J190" i="1" s="1"/>
  <c r="J191" i="1" a="1"/>
  <c r="J191" i="1" s="1"/>
  <c r="J119" i="1" a="1"/>
  <c r="J119" i="1" s="1"/>
  <c r="J182" i="1" a="1"/>
  <c r="J182" i="1" s="1"/>
  <c r="J160" i="1" a="1"/>
  <c r="J160" i="1" s="1"/>
  <c r="J137" i="1" a="1"/>
  <c r="J137" i="1" s="1"/>
  <c r="J113" i="1" a="1"/>
  <c r="J113" i="1" s="1"/>
  <c r="J118" i="1" a="1"/>
  <c r="J118" i="1" s="1"/>
  <c r="J8" i="1" a="1"/>
  <c r="J8" i="1" s="1"/>
  <c r="J110" i="1" a="1"/>
  <c r="J110" i="1" s="1"/>
  <c r="J185" i="1" a="1"/>
  <c r="J185" i="1" s="1"/>
  <c r="J17" i="1" a="1"/>
  <c r="J17" i="1" s="1"/>
  <c r="J165" i="1" a="1"/>
  <c r="J165" i="1" s="1"/>
  <c r="J101" i="1" a="1"/>
  <c r="J101" i="1" s="1"/>
  <c r="J143" i="1" a="1"/>
  <c r="J143" i="1" s="1"/>
  <c r="J108" i="1" a="1"/>
  <c r="J108" i="1" s="1"/>
  <c r="J21" i="1" a="1"/>
  <c r="J21" i="1" s="1"/>
  <c r="J175" i="1" a="1"/>
  <c r="J175" i="1" s="1"/>
  <c r="J5" i="1" a="1"/>
  <c r="J5" i="1" s="1"/>
  <c r="J135" i="1" a="1"/>
  <c r="J135" i="1" s="1"/>
  <c r="J186" i="1" a="1"/>
  <c r="J186" i="1" s="1"/>
  <c r="J117" i="1" a="1"/>
  <c r="J117" i="1" s="1"/>
  <c r="J106" i="1" a="1"/>
  <c r="J106" i="1" s="1"/>
  <c r="J47" i="1" a="1"/>
  <c r="J47" i="1" s="1"/>
  <c r="J58" i="1" a="1"/>
  <c r="J58" i="1" s="1"/>
  <c r="J121" i="1" a="1"/>
  <c r="J121" i="1" s="1"/>
  <c r="J128" i="1" a="1"/>
  <c r="J128" i="1" s="1"/>
  <c r="J114" i="1" a="1"/>
  <c r="J114" i="1" s="1"/>
  <c r="J116" i="1" a="1"/>
  <c r="J116" i="1" s="1"/>
  <c r="J157" i="1" a="1"/>
  <c r="J157" i="1" s="1"/>
  <c r="J15" i="1" a="1"/>
  <c r="J15" i="1" s="1"/>
  <c r="J127" i="1" a="1"/>
  <c r="J127" i="1" s="1"/>
  <c r="J32" i="1" a="1"/>
  <c r="J32" i="1" s="1"/>
  <c r="J53" i="1" a="1"/>
  <c r="J53" i="1" s="1"/>
  <c r="J36" i="1" a="1"/>
  <c r="J36" i="1" s="1"/>
  <c r="J14" i="1" a="1"/>
  <c r="J14" i="1" s="1"/>
  <c r="J56" i="1" a="1"/>
  <c r="J56" i="1" s="1"/>
  <c r="J141" i="1" a="1"/>
  <c r="J141" i="1" s="1"/>
  <c r="J46" i="1" a="1"/>
  <c r="J46" i="1" s="1"/>
  <c r="J48" i="1" a="1"/>
  <c r="J48" i="1" s="1"/>
  <c r="J40" i="1" a="1"/>
  <c r="J40" i="1" s="1"/>
  <c r="J193" i="1" a="1"/>
  <c r="J193" i="1" s="1"/>
  <c r="J144" i="1" a="1"/>
  <c r="J144" i="1" s="1"/>
  <c r="J111" i="1" a="1"/>
  <c r="J111" i="1" s="1"/>
  <c r="J103" i="1" a="1"/>
  <c r="J103" i="1" s="1"/>
  <c r="J169" i="1" a="1"/>
  <c r="J169" i="1" s="1"/>
  <c r="J82" i="1" a="1"/>
  <c r="J82" i="1" s="1"/>
  <c r="J152" i="1" a="1"/>
  <c r="J152" i="1" s="1"/>
  <c r="J92" i="1" a="1"/>
  <c r="J92" i="1" s="1"/>
  <c r="J87" i="1" a="1"/>
  <c r="J87" i="1" s="1"/>
  <c r="J195" i="1" a="1"/>
  <c r="J195" i="1" s="1"/>
  <c r="J120" i="1" a="1"/>
  <c r="J120" i="1" s="1"/>
  <c r="J86" i="1" a="1"/>
  <c r="J86" i="1" s="1"/>
  <c r="J10" i="1" a="1"/>
  <c r="J10" i="1" s="1"/>
  <c r="J90" i="1" a="1"/>
  <c r="J90" i="1" s="1"/>
  <c r="J132" i="1" a="1"/>
  <c r="J132" i="1" s="1"/>
  <c r="J102" i="1" a="1"/>
  <c r="J102" i="1" s="1"/>
  <c r="J173" i="1" a="1"/>
  <c r="J173" i="1" s="1"/>
  <c r="J107" i="1" a="1"/>
  <c r="J107" i="1" s="1"/>
  <c r="J80" i="1" a="1"/>
  <c r="J80" i="1" s="1"/>
  <c r="J77" i="1" a="1"/>
  <c r="J77" i="1" s="1"/>
  <c r="J43" i="1" a="1"/>
  <c r="J43" i="1" s="1"/>
  <c r="J154" i="1" a="1"/>
  <c r="J154" i="1" s="1"/>
  <c r="J125" i="1" a="1"/>
  <c r="J125" i="1" s="1"/>
  <c r="J124" i="1" a="1"/>
  <c r="J124" i="1" s="1"/>
  <c r="J188" i="1" a="1"/>
  <c r="J188" i="1" s="1"/>
  <c r="J67" i="1" a="1"/>
  <c r="J67" i="1" s="1"/>
  <c r="J78" i="1" a="1"/>
  <c r="J78" i="1" s="1"/>
  <c r="J84" i="1" a="1"/>
  <c r="J84" i="1" s="1"/>
  <c r="J6" i="1" a="1"/>
  <c r="J6" i="1" s="1"/>
  <c r="J149" i="1" a="1"/>
  <c r="J149" i="1" s="1"/>
  <c r="J112" i="1" a="1"/>
  <c r="J112" i="1" s="1"/>
  <c r="J12" i="1" a="1"/>
  <c r="J12" i="1" s="1"/>
  <c r="J59" i="1" a="1"/>
  <c r="J59" i="1" s="1"/>
  <c r="J148" i="1" a="1"/>
  <c r="J148" i="1" s="1"/>
  <c r="J179" i="1" a="1"/>
  <c r="J179" i="1" s="1"/>
  <c r="J2" i="1" a="1"/>
  <c r="J2" i="1" s="1"/>
  <c r="J45" i="1" a="1"/>
  <c r="J45" i="1" s="1"/>
  <c r="J33" i="1" a="1"/>
  <c r="J33" i="1" s="1"/>
  <c r="J159" i="1" a="1"/>
  <c r="J159" i="1" s="1"/>
  <c r="J63" i="1" a="1"/>
  <c r="J63" i="1" s="1"/>
  <c r="J19" i="1" a="1"/>
  <c r="J19" i="1" s="1"/>
  <c r="J79" i="1" a="1"/>
  <c r="J79" i="1" s="1"/>
  <c r="J34" i="1" a="1"/>
  <c r="J34" i="1" s="1"/>
  <c r="J52" i="1" a="1"/>
  <c r="J52" i="1" s="1"/>
  <c r="J11" i="1" a="1"/>
  <c r="J11" i="1" s="1"/>
  <c r="J97" i="1" a="1"/>
  <c r="J97" i="1" s="1"/>
  <c r="J60" i="1" a="1"/>
  <c r="J60" i="1" s="1"/>
  <c r="J94" i="1" a="1"/>
  <c r="J94" i="1" s="1"/>
  <c r="J189" i="1" a="1"/>
  <c r="J189" i="1" s="1"/>
  <c r="J167" i="1" a="1"/>
  <c r="J167" i="1" s="1"/>
  <c r="J150" i="1" a="1"/>
  <c r="J150" i="1" s="1"/>
  <c r="J196" i="1" a="1"/>
  <c r="J196" i="1" s="1"/>
  <c r="J170" i="1" a="1"/>
  <c r="J170" i="1" s="1"/>
  <c r="J75" i="1" a="1"/>
  <c r="J75" i="1" s="1"/>
  <c r="J61" i="1" a="1"/>
  <c r="J61" i="1" s="1"/>
  <c r="J39" i="1" a="1"/>
  <c r="J39" i="1" s="1"/>
  <c r="J171" i="1" a="1"/>
  <c r="J171" i="1" s="1"/>
  <c r="J28" i="1" a="1"/>
  <c r="J28" i="1" s="1"/>
  <c r="J177" i="1" a="1"/>
  <c r="J177" i="1" s="1"/>
  <c r="J109" i="1" a="1"/>
  <c r="J109" i="1" s="1"/>
  <c r="J16" i="1" a="1"/>
  <c r="J16" i="1" s="1"/>
  <c r="J93" i="1" a="1"/>
  <c r="J93" i="1" s="1"/>
  <c r="J139" i="1" a="1"/>
  <c r="J139" i="1" s="1"/>
  <c r="J4" i="1" a="1"/>
  <c r="J4" i="1" s="1"/>
  <c r="J57" i="1" a="1"/>
  <c r="J57" i="1" s="1"/>
  <c r="J91" i="1" a="1"/>
  <c r="J91" i="1" s="1"/>
  <c r="J197" i="1" a="1"/>
  <c r="J197" i="1" s="1"/>
  <c r="J70" i="1" a="1"/>
  <c r="J70" i="1" s="1"/>
  <c r="J95" i="1" a="1"/>
  <c r="J95" i="1" s="1"/>
  <c r="J104" i="1" a="1"/>
  <c r="J104" i="1" s="1"/>
  <c r="J35" i="1" a="1"/>
  <c r="J35" i="1" s="1"/>
  <c r="J37" i="1" a="1"/>
  <c r="J37" i="1" s="1"/>
  <c r="J172" i="1" a="1"/>
  <c r="J172" i="1" s="1"/>
  <c r="J151" i="1" a="1"/>
  <c r="J151" i="1" s="1"/>
  <c r="J156" i="1" a="1"/>
  <c r="J156" i="1" s="1"/>
  <c r="J65" i="1" a="1"/>
  <c r="J65" i="1" s="1"/>
  <c r="J49" i="1" a="1"/>
  <c r="J49" i="1" s="1"/>
  <c r="J83" i="1" a="1"/>
  <c r="J83" i="1" s="1"/>
  <c r="J99" i="1" a="1"/>
  <c r="J99" i="1" s="1"/>
  <c r="J187" i="1" a="1"/>
  <c r="J187" i="1" s="1"/>
  <c r="J96" i="1" a="1"/>
  <c r="J96" i="1" s="1"/>
  <c r="J54" i="1" a="1"/>
  <c r="J54" i="1" s="1"/>
  <c r="J122" i="1" a="1"/>
  <c r="J122" i="1" s="1"/>
  <c r="J162" i="1" a="1"/>
  <c r="J162" i="1" s="1"/>
  <c r="J192" i="1" a="1"/>
  <c r="J192" i="1" s="1"/>
  <c r="J201" i="1" a="1"/>
  <c r="J201" i="1" s="1"/>
  <c r="J98" i="1" a="1"/>
  <c r="J98" i="1" s="1"/>
  <c r="J81" i="1" a="1"/>
  <c r="J81" i="1" s="1"/>
  <c r="J199" i="1" a="1"/>
  <c r="J199" i="1" s="1"/>
  <c r="J130" i="1" a="1"/>
  <c r="J130" i="1" s="1"/>
  <c r="J155" i="1" a="1"/>
  <c r="J155" i="1" s="1"/>
  <c r="J123" i="1" a="1"/>
  <c r="J123" i="1" s="1"/>
  <c r="J64" i="1" a="1"/>
  <c r="J64" i="1" s="1"/>
  <c r="J25" i="1" a="1"/>
  <c r="J25" i="1" s="1"/>
  <c r="J74" i="1" a="1"/>
  <c r="J74" i="1" s="1"/>
  <c r="J105" i="1" a="1"/>
  <c r="J105" i="1" s="1"/>
  <c r="J145" i="1" a="1"/>
  <c r="J145" i="1" s="1"/>
  <c r="J7" i="1" a="1"/>
  <c r="J7" i="1" s="1"/>
  <c r="J181" i="1" a="1"/>
  <c r="J181" i="1" s="1"/>
  <c r="J30" i="1" a="1"/>
  <c r="J30" i="1" s="1"/>
  <c r="J23" i="1" a="1"/>
  <c r="J23" i="1" s="1"/>
  <c r="J198" i="1" a="1"/>
  <c r="J198" i="1" s="1"/>
  <c r="J166" i="1" a="1"/>
  <c r="J166" i="1" s="1"/>
  <c r="J41" i="1" a="1"/>
  <c r="J41" i="1" s="1"/>
  <c r="J184" i="1" a="1"/>
  <c r="J184" i="1" s="1"/>
  <c r="J129" i="1" a="1"/>
  <c r="J129" i="1" s="1"/>
  <c r="J115" i="1" a="1"/>
  <c r="J115" i="1" s="1"/>
  <c r="J183" i="1" a="1"/>
  <c r="J183" i="1" s="1"/>
  <c r="J62" i="1" a="1"/>
  <c r="J62" i="1" s="1"/>
  <c r="J194" i="1" a="1"/>
  <c r="J194" i="1" s="1"/>
  <c r="J158" i="1" a="1"/>
  <c r="J158" i="1" s="1"/>
  <c r="J88" i="1" a="1"/>
  <c r="J88" i="1" s="1"/>
  <c r="J69" i="1" a="1"/>
  <c r="J69" i="1" s="1"/>
  <c r="J100" i="1" a="1"/>
  <c r="J100" i="1" s="1"/>
  <c r="J9" i="1" a="1"/>
  <c r="J9" i="1" s="1"/>
  <c r="J163" i="1" a="1"/>
  <c r="J163" i="1" s="1"/>
  <c r="J200" i="1" a="1"/>
  <c r="J200" i="1" s="1"/>
  <c r="J146" i="1" a="1"/>
  <c r="J146" i="1" s="1"/>
  <c r="J85" i="1" a="1"/>
  <c r="J85" i="1" s="1"/>
  <c r="J176" i="1" a="1"/>
  <c r="J176" i="1" s="1"/>
  <c r="J55" i="1" a="1"/>
  <c r="J55" i="1" s="1"/>
  <c r="J68" i="1" a="1"/>
  <c r="J68" i="1" s="1"/>
  <c r="J72" i="1" a="1"/>
  <c r="J72" i="1" s="1"/>
  <c r="J51" i="1" a="1"/>
  <c r="J51" i="1" s="1"/>
  <c r="J133" i="1" a="1"/>
  <c r="J133" i="1" s="1"/>
  <c r="J27" i="1" a="1"/>
  <c r="J27" i="1" s="1"/>
  <c r="J136" i="1" a="1"/>
  <c r="J136" i="1" s="1"/>
  <c r="J89" i="1" a="1"/>
  <c r="J89" i="1" s="1"/>
  <c r="J66" i="1" a="1"/>
  <c r="J66" i="1" s="1"/>
  <c r="J161" i="1" a="1"/>
  <c r="J161" i="1" s="1"/>
  <c r="J3" i="1" a="1"/>
  <c r="J3" i="1" s="1"/>
  <c r="J22" i="1" a="1"/>
  <c r="J22" i="1" s="1"/>
  <c r="J31" i="1" a="1"/>
  <c r="J31" i="1" s="1"/>
  <c r="J147" i="1" a="1"/>
  <c r="J147" i="1" s="1"/>
  <c r="J180" i="1" a="1"/>
  <c r="J180" i="1" s="1"/>
  <c r="J153" i="1" a="1"/>
  <c r="J153" i="1" s="1"/>
  <c r="J178" i="1" a="1"/>
  <c r="J178" i="1" s="1"/>
  <c r="J73" i="1" a="1"/>
  <c r="J73" i="1" s="1"/>
  <c r="J26" i="1" a="1"/>
  <c r="J26" i="1" s="1"/>
  <c r="J134" i="1" a="1"/>
  <c r="J134" i="1" s="1"/>
  <c r="J38" i="1" a="1"/>
  <c r="J38" i="1" s="1"/>
  <c r="J20" i="1" a="1"/>
  <c r="J20" i="1" s="1"/>
  <c r="J174" i="1" a="1"/>
  <c r="J174" i="1" s="1"/>
  <c r="J50" i="1" a="1"/>
  <c r="J50" i="1" s="1"/>
  <c r="J168" i="1" a="1"/>
  <c r="J168" i="1" s="1"/>
  <c r="J44" i="1" a="1"/>
  <c r="J44" i="1" s="1"/>
  <c r="J13" i="1" a="1"/>
  <c r="J13" i="1" s="1"/>
  <c r="J29" i="1" a="1"/>
  <c r="J29" i="1" s="1"/>
  <c r="J138" i="1" a="1"/>
  <c r="J138" i="1" s="1"/>
  <c r="J131" i="1" a="1"/>
  <c r="J131" i="1" s="1"/>
  <c r="J76" i="1" a="1"/>
  <c r="J76" i="1" s="1"/>
  <c r="J140" i="1" a="1"/>
  <c r="J140" i="1" s="1"/>
  <c r="J24" i="1" a="1"/>
  <c r="J24" i="1" s="1"/>
  <c r="J71" i="1" a="1"/>
  <c r="J71" i="1" s="1"/>
  <c r="J126" i="1" a="1"/>
  <c r="J126" i="1" s="1"/>
  <c r="J164" i="1" a="1"/>
  <c r="J164" i="1" s="1"/>
  <c r="J18" i="1" a="1"/>
  <c r="J1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<sst xmlns="http://schemas.openxmlformats.org/spreadsheetml/2006/main" count="2040" uniqueCount="468">
  <si>
    <t>Employee_ID</t>
  </si>
  <si>
    <t>Employee_Name</t>
  </si>
  <si>
    <t>Age</t>
  </si>
  <si>
    <t>Gender</t>
  </si>
  <si>
    <t>Department</t>
  </si>
  <si>
    <t>Designation</t>
  </si>
  <si>
    <t>Joining_Date</t>
  </si>
  <si>
    <t>Leaving_Date</t>
  </si>
  <si>
    <t>Employment_Status</t>
  </si>
  <si>
    <t>Attrition</t>
  </si>
  <si>
    <t>Annual_Salary_INR</t>
  </si>
  <si>
    <t>Performance_Rating</t>
  </si>
  <si>
    <t>Education</t>
  </si>
  <si>
    <t>Marital_Status</t>
  </si>
  <si>
    <t>Location</t>
  </si>
  <si>
    <t>Last_Promotion_Date</t>
  </si>
  <si>
    <t>Years_At_Company</t>
  </si>
  <si>
    <t>Job_Satisfaction</t>
  </si>
  <si>
    <t>Work_Life_Balance</t>
  </si>
  <si>
    <t>Avg_Overtime_Hrs_Month</t>
  </si>
  <si>
    <t>Training_Hours_Last_Year</t>
  </si>
  <si>
    <t>Distance_From_Home_KM</t>
  </si>
  <si>
    <t>OGUL0030</t>
  </si>
  <si>
    <t>Simran Desai</t>
  </si>
  <si>
    <t>Female</t>
  </si>
  <si>
    <t>Human Resources</t>
  </si>
  <si>
    <t>HR Executive</t>
  </si>
  <si>
    <t>Active</t>
  </si>
  <si>
    <t>No</t>
  </si>
  <si>
    <t>M.Tech</t>
  </si>
  <si>
    <t>Single</t>
  </si>
  <si>
    <t>Kolkata</t>
  </si>
  <si>
    <t>OGUL0009</t>
  </si>
  <si>
    <t>Mohit Mehta</t>
  </si>
  <si>
    <t>Finance</t>
  </si>
  <si>
    <t>Senior Analyst</t>
  </si>
  <si>
    <t>B.Com</t>
  </si>
  <si>
    <t>Divorced</t>
  </si>
  <si>
    <t>Mumbai</t>
  </si>
  <si>
    <t>OGUL0024</t>
  </si>
  <si>
    <t>Aarav Singh</t>
  </si>
  <si>
    <t>Male</t>
  </si>
  <si>
    <t>Finance Manager</t>
  </si>
  <si>
    <t>Married</t>
  </si>
  <si>
    <t>Gurgaon</t>
  </si>
  <si>
    <t>OGUL0187</t>
  </si>
  <si>
    <t>Pooja Desai</t>
  </si>
  <si>
    <t>Accounts Executive</t>
  </si>
  <si>
    <t>MBA</t>
  </si>
  <si>
    <t>OGUL0142</t>
  </si>
  <si>
    <t>Sara Chaudhary</t>
  </si>
  <si>
    <t>Finance Analyst</t>
  </si>
  <si>
    <t>CA</t>
  </si>
  <si>
    <t>Hyderabad</t>
  </si>
  <si>
    <t>OGUL0081</t>
  </si>
  <si>
    <t>Shreya Singh</t>
  </si>
  <si>
    <t>Sales</t>
  </si>
  <si>
    <t>Sales Executive</t>
  </si>
  <si>
    <t>Delhi</t>
  </si>
  <si>
    <t>OGUL0167</t>
  </si>
  <si>
    <t>Myra Mehta</t>
  </si>
  <si>
    <t>Sales Manager</t>
  </si>
  <si>
    <t>OGUL0013</t>
  </si>
  <si>
    <t>Arjun Bhatt</t>
  </si>
  <si>
    <t>Engineering</t>
  </si>
  <si>
    <t>Software Engineer</t>
  </si>
  <si>
    <t>B.Tech</t>
  </si>
  <si>
    <t>OGUL0088</t>
  </si>
  <si>
    <t>Vivaan Gupta</t>
  </si>
  <si>
    <t>Left</t>
  </si>
  <si>
    <t>Yes</t>
  </si>
  <si>
    <t>OGUL0061</t>
  </si>
  <si>
    <t>Sai Jain</t>
  </si>
  <si>
    <t>BBA</t>
  </si>
  <si>
    <t>OGUL0029</t>
  </si>
  <si>
    <t>Suresh Mehta</t>
  </si>
  <si>
    <t>HR Manager</t>
  </si>
  <si>
    <t>MCA</t>
  </si>
  <si>
    <t>OGUL0131</t>
  </si>
  <si>
    <t>Sneha Kumar</t>
  </si>
  <si>
    <t>Tech Lead</t>
  </si>
  <si>
    <t>OGUL0110</t>
  </si>
  <si>
    <t>Simran Iyer</t>
  </si>
  <si>
    <t>Engineering Manager</t>
  </si>
  <si>
    <t>Pune</t>
  </si>
  <si>
    <t>OGUL0197</t>
  </si>
  <si>
    <t>Tanvi Sharma</t>
  </si>
  <si>
    <t>Noida</t>
  </si>
  <si>
    <t>OGUL0057</t>
  </si>
  <si>
    <t>Operations</t>
  </si>
  <si>
    <t>Quality Analyst</t>
  </si>
  <si>
    <t>OGUL0011</t>
  </si>
  <si>
    <t>Prisha Bhatt</t>
  </si>
  <si>
    <t>Senior Sales Executive</t>
  </si>
  <si>
    <t>OGUL0146</t>
  </si>
  <si>
    <t>Rahul Jain</t>
  </si>
  <si>
    <t>OGUL0075</t>
  </si>
  <si>
    <t>Ishani Kapoor</t>
  </si>
  <si>
    <t>B.Sc</t>
  </si>
  <si>
    <t>OGUL0133</t>
  </si>
  <si>
    <t>Aditya Verma</t>
  </si>
  <si>
    <t>Operations Executive</t>
  </si>
  <si>
    <t>OGUL0185</t>
  </si>
  <si>
    <t>Ananya Kulkarni</t>
  </si>
  <si>
    <t>OGUL0050</t>
  </si>
  <si>
    <t>Vihaan Yadav</t>
  </si>
  <si>
    <t>Bangalore</t>
  </si>
  <si>
    <t>OGUL0051</t>
  </si>
  <si>
    <t>Ayaan Gupta</t>
  </si>
  <si>
    <t>OGUL0175</t>
  </si>
  <si>
    <t>Rahul Gupta</t>
  </si>
  <si>
    <t>OGUL0099</t>
  </si>
  <si>
    <t>Vikram Malhotra</t>
  </si>
  <si>
    <t>OGUL0184</t>
  </si>
  <si>
    <t>Aaradhya Bhatt</t>
  </si>
  <si>
    <t>OGUL0043</t>
  </si>
  <si>
    <t>Reyansh Arora</t>
  </si>
  <si>
    <t>OGUL0182</t>
  </si>
  <si>
    <t>Reyansh Sharma</t>
  </si>
  <si>
    <t>OGUL0042</t>
  </si>
  <si>
    <t>Mohit Kulkarni</t>
  </si>
  <si>
    <t>Operations Manager</t>
  </si>
  <si>
    <t>Chennai</t>
  </si>
  <si>
    <t>OGUL0092</t>
  </si>
  <si>
    <t>Vivaan Malhotra</t>
  </si>
  <si>
    <t>OGUL0151</t>
  </si>
  <si>
    <t>Aaradhya Mishra</t>
  </si>
  <si>
    <t>OGUL0141</t>
  </si>
  <si>
    <t>Kunal Arora</t>
  </si>
  <si>
    <t>OGUL0165</t>
  </si>
  <si>
    <t>Aarav Chopra</t>
  </si>
  <si>
    <t>OGUL0104</t>
  </si>
  <si>
    <t>Simran Nair</t>
  </si>
  <si>
    <t>OGUL0054</t>
  </si>
  <si>
    <t>Sara Arora</t>
  </si>
  <si>
    <t>OGUL0138</t>
  </si>
  <si>
    <t>Anaya Yadav</t>
  </si>
  <si>
    <t>OGUL0045</t>
  </si>
  <si>
    <t>Rohan Jain</t>
  </si>
  <si>
    <t>OGUL0018</t>
  </si>
  <si>
    <t>Manish Bhatt</t>
  </si>
  <si>
    <t>OGUL0164</t>
  </si>
  <si>
    <t>Nisha Malhotra</t>
  </si>
  <si>
    <t>OGUL0161</t>
  </si>
  <si>
    <t>Myra Arora</t>
  </si>
  <si>
    <t>Senior Engineer</t>
  </si>
  <si>
    <t>OGUL0014</t>
  </si>
  <si>
    <t>Reyansh Singh</t>
  </si>
  <si>
    <t>OGUL0039</t>
  </si>
  <si>
    <t>Alok Sharma</t>
  </si>
  <si>
    <t>OGUL0091</t>
  </si>
  <si>
    <t>Ayaan Sharma</t>
  </si>
  <si>
    <t>Logistics Coordinator</t>
  </si>
  <si>
    <t>OGUL0070</t>
  </si>
  <si>
    <t>Vikram Iyer</t>
  </si>
  <si>
    <t>OGUL0156</t>
  </si>
  <si>
    <t>Rohan Mishra</t>
  </si>
  <si>
    <t>Regional Sales Manager</t>
  </si>
  <si>
    <t>OGUL0129</t>
  </si>
  <si>
    <t>Myra Patel</t>
  </si>
  <si>
    <t>OGUL0046</t>
  </si>
  <si>
    <t>Aaradhya Iyer</t>
  </si>
  <si>
    <t>OGUL0001</t>
  </si>
  <si>
    <t>Sai Mehta</t>
  </si>
  <si>
    <t>OGUL0177</t>
  </si>
  <si>
    <t>Aarav Rao</t>
  </si>
  <si>
    <t>OGUL0188</t>
  </si>
  <si>
    <t>Tanvi Singh</t>
  </si>
  <si>
    <t>OGUL0168</t>
  </si>
  <si>
    <t>Sai Chaudhary</t>
  </si>
  <si>
    <t>OGUL0023</t>
  </si>
  <si>
    <t>OGUL0032</t>
  </si>
  <si>
    <t>Sai Nair</t>
  </si>
  <si>
    <t>OGUL0179</t>
  </si>
  <si>
    <t>Pooja Singh</t>
  </si>
  <si>
    <t>OGUL0192</t>
  </si>
  <si>
    <t>Ayaan Reddy</t>
  </si>
  <si>
    <t>OGUL0144</t>
  </si>
  <si>
    <t>Krishna Bhatt</t>
  </si>
  <si>
    <t>OGUL0154</t>
  </si>
  <si>
    <t>Anaya Mehta</t>
  </si>
  <si>
    <t>OGUL0147</t>
  </si>
  <si>
    <t>Ananya Rao</t>
  </si>
  <si>
    <t>OGUL0157</t>
  </si>
  <si>
    <t>Diya Chaudhary</t>
  </si>
  <si>
    <t>OGUL0123</t>
  </si>
  <si>
    <t>Arjun Malhotra</t>
  </si>
  <si>
    <t>OGUL0105</t>
  </si>
  <si>
    <t>Rahul Bhatt</t>
  </si>
  <si>
    <t>OGUL0028</t>
  </si>
  <si>
    <t>Vivaan Singh</t>
  </si>
  <si>
    <t>OGUL0059</t>
  </si>
  <si>
    <t>Rohan Singh</t>
  </si>
  <si>
    <t>OGUL0186</t>
  </si>
  <si>
    <t>Simran Mehta</t>
  </si>
  <si>
    <t>OGUL0158</t>
  </si>
  <si>
    <t>Rahul Patel</t>
  </si>
  <si>
    <t>OGUL0152</t>
  </si>
  <si>
    <t>Krishna Chaudhary</t>
  </si>
  <si>
    <t>OGUL0112</t>
  </si>
  <si>
    <t>Kunal Chaudhary</t>
  </si>
  <si>
    <t>OGUL0044</t>
  </si>
  <si>
    <t>Pooja Chaudhary</t>
  </si>
  <si>
    <t>OGUL0095</t>
  </si>
  <si>
    <t>Diya Saxena</t>
  </si>
  <si>
    <t>OGUL0117</t>
  </si>
  <si>
    <t>Pooja Bhatt</t>
  </si>
  <si>
    <t>OGUL0132</t>
  </si>
  <si>
    <t>Ritika Reddy</t>
  </si>
  <si>
    <t>Recruiter</t>
  </si>
  <si>
    <t>OGUL0022</t>
  </si>
  <si>
    <t>Prisha Singh</t>
  </si>
  <si>
    <t>OGUL0119</t>
  </si>
  <si>
    <t>Vivaan Kulkarni</t>
  </si>
  <si>
    <t>OGUL0100</t>
  </si>
  <si>
    <t>Ritika Bansal</t>
  </si>
  <si>
    <t>OGUL0069</t>
  </si>
  <si>
    <t>Simran Bansal</t>
  </si>
  <si>
    <t>OGUL0169</t>
  </si>
  <si>
    <t>Reyansh Bhatt</t>
  </si>
  <si>
    <t>OGUL0003</t>
  </si>
  <si>
    <t>Ritika Nair</t>
  </si>
  <si>
    <t>OGUL0008</t>
  </si>
  <si>
    <t>Ayaan Nair</t>
  </si>
  <si>
    <t>OGUL0108</t>
  </si>
  <si>
    <t>Manish Arora</t>
  </si>
  <si>
    <t>OGUL0077</t>
  </si>
  <si>
    <t>Nisha Saxena</t>
  </si>
  <si>
    <t>OGUL0015</t>
  </si>
  <si>
    <t>Saanvi Mehta</t>
  </si>
  <si>
    <t>OGUL0060</t>
  </si>
  <si>
    <t>Krishna Nair</t>
  </si>
  <si>
    <t>OGUL0085</t>
  </si>
  <si>
    <t>Sai Gupta</t>
  </si>
  <si>
    <t>HR Business Partner</t>
  </si>
  <si>
    <t>OGUL0190</t>
  </si>
  <si>
    <t>Krishna Patel</t>
  </si>
  <si>
    <t>OGUL0137</t>
  </si>
  <si>
    <t>Ritika Desai</t>
  </si>
  <si>
    <t>OGUL0089</t>
  </si>
  <si>
    <t>Vihaan Bansal</t>
  </si>
  <si>
    <t>OGUL0016</t>
  </si>
  <si>
    <t>Aarav Gupta</t>
  </si>
  <si>
    <t>OGUL0068</t>
  </si>
  <si>
    <t>Aditya Desai</t>
  </si>
  <si>
    <t>OGUL0094</t>
  </si>
  <si>
    <t>Deepak Chaudhary</t>
  </si>
  <si>
    <t>OGUL0128</t>
  </si>
  <si>
    <t>OGUL0178</t>
  </si>
  <si>
    <t>Manish Desai</t>
  </si>
  <si>
    <t>OGUL0064</t>
  </si>
  <si>
    <t>OGUL0153</t>
  </si>
  <si>
    <t>Shreya Kumar</t>
  </si>
  <si>
    <t>OGUL0053</t>
  </si>
  <si>
    <t>Aaradhya Chaudhary</t>
  </si>
  <si>
    <t>OGUL0035</t>
  </si>
  <si>
    <t>Vikram Patel</t>
  </si>
  <si>
    <t>OGUL0058</t>
  </si>
  <si>
    <t>Amit Desai</t>
  </si>
  <si>
    <t>OGUL0017</t>
  </si>
  <si>
    <t>Kavya Nair</t>
  </si>
  <si>
    <t>OGUL0083</t>
  </si>
  <si>
    <t>Anaya Saxena</t>
  </si>
  <si>
    <t>OGUL0172</t>
  </si>
  <si>
    <t>Anaya Malhotra</t>
  </si>
  <si>
    <t>OGUL0019</t>
  </si>
  <si>
    <t>Tanvi Saxena</t>
  </si>
  <si>
    <t>OGUL0122</t>
  </si>
  <si>
    <t>Kavya Yadav</t>
  </si>
  <si>
    <t>OGUL0183</t>
  </si>
  <si>
    <t>Deepak Kumar</t>
  </si>
  <si>
    <t>OGUL0066</t>
  </si>
  <si>
    <t>Simran Arora</t>
  </si>
  <si>
    <t>OGUL0074</t>
  </si>
  <si>
    <t>Arjun Kumar</t>
  </si>
  <si>
    <t>OGUL0195</t>
  </si>
  <si>
    <t>Krishna Chopra</t>
  </si>
  <si>
    <t>OGUL0143</t>
  </si>
  <si>
    <t>Diya Kulkarni</t>
  </si>
  <si>
    <t>OGUL0010</t>
  </si>
  <si>
    <t>Pari Jain</t>
  </si>
  <si>
    <t>OGUL0173</t>
  </si>
  <si>
    <t>Sai Reddy</t>
  </si>
  <si>
    <t>OGUL0102</t>
  </si>
  <si>
    <t>Pooja Nair</t>
  </si>
  <si>
    <t>OGUL0150</t>
  </si>
  <si>
    <t>Sai Bhatt</t>
  </si>
  <si>
    <t>OGUL0093</t>
  </si>
  <si>
    <t>Pooja Gupta</t>
  </si>
  <si>
    <t>OGUL0052</t>
  </si>
  <si>
    <t>Amit Saxena</t>
  </si>
  <si>
    <t>OGUL0087</t>
  </si>
  <si>
    <t>Suresh Jain</t>
  </si>
  <si>
    <t>OGUL0098</t>
  </si>
  <si>
    <t>OGUL0136</t>
  </si>
  <si>
    <t>Ayaan Mehta</t>
  </si>
  <si>
    <t>OGUL0126</t>
  </si>
  <si>
    <t>Aditya Chaudhary</t>
  </si>
  <si>
    <t>OGUL0084</t>
  </si>
  <si>
    <t>Ishani Chopra</t>
  </si>
  <si>
    <t>OGUL0116</t>
  </si>
  <si>
    <t>Mohit Arora</t>
  </si>
  <si>
    <t>OGUL0155</t>
  </si>
  <si>
    <t>Vihaan Jain</t>
  </si>
  <si>
    <t>OGUL0109</t>
  </si>
  <si>
    <t>Ayaan Verma</t>
  </si>
  <si>
    <t>OGUL0189</t>
  </si>
  <si>
    <t>Ayaan Patel</t>
  </si>
  <si>
    <t>OGUL0026</t>
  </si>
  <si>
    <t>Amit Bansal</t>
  </si>
  <si>
    <t>OGUL0073</t>
  </si>
  <si>
    <t>Amit Patel</t>
  </si>
  <si>
    <t>OGUL0113</t>
  </si>
  <si>
    <t>Saanvi Verma</t>
  </si>
  <si>
    <t>OGUL0148</t>
  </si>
  <si>
    <t>Pooja Chopra</t>
  </si>
  <si>
    <t>OGUL0040</t>
  </si>
  <si>
    <t>Kunal Rao</t>
  </si>
  <si>
    <t>OGUL0160</t>
  </si>
  <si>
    <t>Aditya Gupta</t>
  </si>
  <si>
    <t>OGUL0076</t>
  </si>
  <si>
    <t>Nisha Singh</t>
  </si>
  <si>
    <t>OGUL0062</t>
  </si>
  <si>
    <t>OGUL0020</t>
  </si>
  <si>
    <t>Krishna Bansal</t>
  </si>
  <si>
    <t>OGUL0181</t>
  </si>
  <si>
    <t>Amit Yadav</t>
  </si>
  <si>
    <t>OGUL0090</t>
  </si>
  <si>
    <t>Tanvi Kapoor</t>
  </si>
  <si>
    <t>OGUL0111</t>
  </si>
  <si>
    <t>Pooja Reddy</t>
  </si>
  <si>
    <t>OGUL0031</t>
  </si>
  <si>
    <t>Suresh Nair</t>
  </si>
  <si>
    <t>OGUL0005</t>
  </si>
  <si>
    <t>Ritika Jain</t>
  </si>
  <si>
    <t>OGUL0180</t>
  </si>
  <si>
    <t>Nisha Kumar</t>
  </si>
  <si>
    <t>OGUL0176</t>
  </si>
  <si>
    <t>Amit Nair</t>
  </si>
  <si>
    <t>OGUL0078</t>
  </si>
  <si>
    <t>Vihaan Rao</t>
  </si>
  <si>
    <t>OGUL0071</t>
  </si>
  <si>
    <t>Neha Mishra</t>
  </si>
  <si>
    <t>OGUL0196</t>
  </si>
  <si>
    <t>Anaya Chaudhary</t>
  </si>
  <si>
    <t>OGUL0049</t>
  </si>
  <si>
    <t>Aaradhya Kulkarni</t>
  </si>
  <si>
    <t>OGUL0004</t>
  </si>
  <si>
    <t>Pooja Patel</t>
  </si>
  <si>
    <t>OGUL0166</t>
  </si>
  <si>
    <t>Amit Sharma</t>
  </si>
  <si>
    <t>OGUL0135</t>
  </si>
  <si>
    <t>Manish Reddy</t>
  </si>
  <si>
    <t>OGUL0002</t>
  </si>
  <si>
    <t>Ishaan Mehta</t>
  </si>
  <si>
    <t>OGUL0034</t>
  </si>
  <si>
    <t>Shreya Malhotra</t>
  </si>
  <si>
    <t>OGUL0101</t>
  </si>
  <si>
    <t>Priya Kumar</t>
  </si>
  <si>
    <t>OGUL0174</t>
  </si>
  <si>
    <t>Sai Patel</t>
  </si>
  <si>
    <t>OGUL0115</t>
  </si>
  <si>
    <t>Sai Kulkarni</t>
  </si>
  <si>
    <t>OGUL0065</t>
  </si>
  <si>
    <t>Tanvi Desai</t>
  </si>
  <si>
    <t>OGUL0007</t>
  </si>
  <si>
    <t>Ayaan Kumar</t>
  </si>
  <si>
    <t>OGUL0036</t>
  </si>
  <si>
    <t>Sara Jain</t>
  </si>
  <si>
    <t>OGUL0171</t>
  </si>
  <si>
    <t>Alok Desai</t>
  </si>
  <si>
    <t>OGUL0193</t>
  </si>
  <si>
    <t>Prisha Iyer</t>
  </si>
  <si>
    <t>OGUL0149</t>
  </si>
  <si>
    <t>Arjun Mishra</t>
  </si>
  <si>
    <t>OGUL0130</t>
  </si>
  <si>
    <t>Kavya Jain</t>
  </si>
  <si>
    <t>OGUL0103</t>
  </si>
  <si>
    <t>Aditya Bansal</t>
  </si>
  <si>
    <t>OGUL0127</t>
  </si>
  <si>
    <t>Pari Malhotra</t>
  </si>
  <si>
    <t>OGUL0139</t>
  </si>
  <si>
    <t>Sara Singh</t>
  </si>
  <si>
    <t>OGUL0096</t>
  </si>
  <si>
    <t>Vikram Gupta</t>
  </si>
  <si>
    <t>OGUL0194</t>
  </si>
  <si>
    <t>Krishna Mehta</t>
  </si>
  <si>
    <t>OGUL0082</t>
  </si>
  <si>
    <t>Vihaan Kapoor</t>
  </si>
  <si>
    <t>OGUL0027</t>
  </si>
  <si>
    <t>Ishani Jain</t>
  </si>
  <si>
    <t>OGUL0199</t>
  </si>
  <si>
    <t>Kavya Sharma</t>
  </si>
  <si>
    <t>OGUL0056</t>
  </si>
  <si>
    <t>Anaya Bhatt</t>
  </si>
  <si>
    <t>OGUL0048</t>
  </si>
  <si>
    <t>Sneha Kulkarni</t>
  </si>
  <si>
    <t>OGUL0097</t>
  </si>
  <si>
    <t>Sara Gupta</t>
  </si>
  <si>
    <t>OGUL0134</t>
  </si>
  <si>
    <t>Simran Kulkarni</t>
  </si>
  <si>
    <t>OGUL0145</t>
  </si>
  <si>
    <t>OGUL0086</t>
  </si>
  <si>
    <t>Sara Saxena</t>
  </si>
  <si>
    <t>OGUL0080</t>
  </si>
  <si>
    <t>Prisha Patel</t>
  </si>
  <si>
    <t>OGUL0114</t>
  </si>
  <si>
    <t>Anaya Singh</t>
  </si>
  <si>
    <t>OGUL0106</t>
  </si>
  <si>
    <t>OGUL0033</t>
  </si>
  <si>
    <t>Simran Gupta</t>
  </si>
  <si>
    <t>OGUL0140</t>
  </si>
  <si>
    <t>Manish Mehta</t>
  </si>
  <si>
    <t>OGUL0006</t>
  </si>
  <si>
    <t>Ishaan Reddy</t>
  </si>
  <si>
    <t>OGUL0072</t>
  </si>
  <si>
    <t>Ishani Chaudhary</t>
  </si>
  <si>
    <t>OGUL0038</t>
  </si>
  <si>
    <t>Rahul Chopra</t>
  </si>
  <si>
    <t>OGUL0025</t>
  </si>
  <si>
    <t>Myra Bansal</t>
  </si>
  <si>
    <t>OGUL0041</t>
  </si>
  <si>
    <t>Saanvi Sharma</t>
  </si>
  <si>
    <t>OGUL0079</t>
  </si>
  <si>
    <t>OGUL0118</t>
  </si>
  <si>
    <t>Aditya Saxena</t>
  </si>
  <si>
    <t>OGUL0159</t>
  </si>
  <si>
    <t>OGUL0198</t>
  </si>
  <si>
    <t>Kunal Yadav</t>
  </si>
  <si>
    <t>OGUL0067</t>
  </si>
  <si>
    <t>Myra Chaudhary</t>
  </si>
  <si>
    <t>OGUL0191</t>
  </si>
  <si>
    <t>Nisha Patel</t>
  </si>
  <si>
    <t>OGUL0124</t>
  </si>
  <si>
    <t>Ishaan Nair</t>
  </si>
  <si>
    <t>OGUL0047</t>
  </si>
  <si>
    <t>OGUL0200</t>
  </si>
  <si>
    <t>Pooja Bansal</t>
  </si>
  <si>
    <t>OGUL0037</t>
  </si>
  <si>
    <t>Alok Malhotra</t>
  </si>
  <si>
    <t>OGUL0121</t>
  </si>
  <si>
    <t>Sara Nair</t>
  </si>
  <si>
    <t>OGUL0170</t>
  </si>
  <si>
    <t>Diya Desai</t>
  </si>
  <si>
    <t>OGUL0107</t>
  </si>
  <si>
    <t>OGUL0120</t>
  </si>
  <si>
    <t>OGUL0163</t>
  </si>
  <si>
    <t>Tanvi Kulkarni</t>
  </si>
  <si>
    <t>OGUL0162</t>
  </si>
  <si>
    <t>OGUL0063</t>
  </si>
  <si>
    <t>Aarav Nair</t>
  </si>
  <si>
    <t>OGUL0055</t>
  </si>
  <si>
    <t>Anaya Kumar</t>
  </si>
  <si>
    <t>OGUL0012</t>
  </si>
  <si>
    <t>Ayaan Jain</t>
  </si>
  <si>
    <t>OGUL0021</t>
  </si>
  <si>
    <t>Prisha Kumar</t>
  </si>
  <si>
    <t>OGUL0125</t>
  </si>
  <si>
    <t>Total_Employees</t>
  </si>
  <si>
    <t>Attrition_Rate</t>
  </si>
  <si>
    <t>Avg_Salary</t>
  </si>
  <si>
    <t>Avg_Performance</t>
  </si>
  <si>
    <t>Tenure</t>
  </si>
  <si>
    <t>Tenure Band</t>
  </si>
  <si>
    <t>Reason for Leaving</t>
  </si>
  <si>
    <t>Tenure New</t>
  </si>
  <si>
    <t>Salary Band L</t>
  </si>
  <si>
    <t xml:space="preserve">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</si>
</sst>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2" fontId="1" fillId="0" borderId="1" xfId="1" applyNumberFormat="1" applyFont="1" applyBorder="1" applyAlignment="1">
      <alignment horizontal="center" vertical="top"/>
    </xf>
    <xf numFmtId="2" fontId="0" fillId="0" borderId="0" xfId="1" applyNumberFormat="1" applyFont="1"/>
  </cellXfs>
  <cellStyles count="2">
    <cellStyle name="Comma" xfId="1" builtinId="3"/>
    <cellStyle name="Normal" xfId="0" builtinId="0"/>
  </cellStyles>
  <dxfs count="14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0" formatCode="General"/>
    </dxf>
    <dxf>
      <numFmt numFmtId="0" formatCode="General"/>
    </dxf>
    <dxf>
      <numFmt numFmtId="2" formatCode="0.00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46284-A988-4CBD-8DD9-3BCF1D4C746A}" name="Table1" displayName="Table1" ref="A1:AB201" totalsRowShown="0" headerRowDxfId="13" headerRowBorderDxfId="12" tableBorderDxfId="11">
  <autoFilter ref="A1:AB201" xr:uid="{AA846284-A988-4CBD-8DD9-3BCF1D4C746A}"/>
  <sortState xmlns:xlrd2="http://schemas.microsoft.com/office/spreadsheetml/2017/richdata2" ref="A2:AB201">
    <sortCondition ref="O1:O201"/>
  </sortState>
  <tableColumns count="28">
    <tableColumn id="1" xr3:uid="{1E9B623B-946D-4B89-AABE-E5E5C754E419}" name="Employee_ID"/>
    <tableColumn id="2" xr3:uid="{B5B7CE2C-B721-4222-A601-0EDEAA211468}" name="Employee_Name"/>
    <tableColumn id="3" xr3:uid="{C39C1E4E-FDE4-45C3-A075-B80C716F5D9D}" name="Age"/>
    <tableColumn id="4" xr3:uid="{ED295CD1-C234-42D0-BD7D-95D61B973F12}" name="Gender"/>
    <tableColumn id="5" xr3:uid="{F26C0F00-2298-43B8-BF44-FA648E19D42A}" name="Department"/>
    <tableColumn id="6" xr3:uid="{D9E2EEBE-740E-4886-AC72-D2DFFF8A5926}" name="Designation"/>
    <tableColumn id="7" xr3:uid="{2EF474F2-1C87-4F55-B7CA-BFF521744CA5}" name="Joining_Date" dataDxfId="10"/>
    <tableColumn id="8" xr3:uid="{63F9D681-FAC2-46B6-89E9-274B73A029A0}" name="Leaving_Date"/>
    <tableColumn id="25" xr3:uid="{3339B7F9-4373-460E-9B1C-30A84F79BD5A}" name="Tenure" dataDxfId="9" dataCellStyle="Comma">
      <calculatedColumnFormula>DATEDIF(G2,IF(H2="",TODAY(),H2),"Y")+DATEDIF(G2,IF(H2="",TODAY(),H2),"Ym")/12</calculatedColumnFormula>
    </tableColumn>
    <tableColumn id="26" xr3:uid="{964B6222-94F8-442D-8EFD-772FCED5298F}" name="Tenure New" dataCellStyle="Comma">
      <calculatedColumnFormula array="1">IF(ISNUMBER(I2), I2, DAY (I2) + HOUR (I2)/24)</calculatedColumnFormula>
    </tableColumn>
    <tableColumn id="24" xr3:uid="{DCBB7720-FED2-4E0F-9E20-F0BCAC9B54EB}" name="Tenure Band" dataDxfId="8">
      <calculatedColumnFormula>IF(I2&lt;1,"0-1 yr", IF(I2&lt;3,"0-3 Yrs", IF(I2&lt;5, "3-5 yrs","5+Yrs")))</calculatedColumnFormula>
    </tableColumn>
    <tableColumn id="28" xr3:uid="{E04B4716-0D43-4AB2-8576-CDCD701B6270}" name="Reason for Leaving" dataDxfId="7">
      <calculatedColumnFormula>IF(M2&lt;&gt;"Left","",IF(Z2&gt;20,"Work-Life Balance",IF(OR(X2&lt;=2,Y2&lt;=2),"Work Culture",IF(Q2&lt;AVERAGEIFS($Q$2:$Q$201,$E$2:$E$201,E2),"Better Salary",IF(IFERROR(DATEDIF(V2,IF(H2="",TODAY(),H2),"y"),0)&gt;=3,"Career Growth","Better Opportunity")))))</calculatedColumnFormula>
    </tableColumn>
    <tableColumn id="9" xr3:uid="{2250F280-F2C3-4C09-AB28-95C2D58F3F63}" name="Employment_Status"/>
    <tableColumn id="10" xr3:uid="{61332B12-0516-4824-BBE6-E8EDF715F6D5}" name="Attrition"/>
    <tableColumn id="23" xr3:uid="{219FBB0D-4AF7-4EB8-92C8-926345D87E23}" name="Salary " dataDxfId="0">
      <calculatedColumnFormula>Q2*1/100000</calculatedColumnFormula>
    </tableColumn>
    <tableColumn id="27" xr3:uid="{CD93DAD5-1DD6-496F-B276-2024A373BF33}" name="Salary Band L" dataDxfId="1">
      <calculatedColumnFormula>IF(Q2*1&lt;600000,"3L-6L",IF(Q2*1&lt;800000,"6L-8L",IF(Q2*1&lt;1000000,"8L-10L",IF(Q2*1&lt;1200000,"10L-12L",IF(Q2*1&lt;1500000,"12L-15L",IF(Q2*1&lt;2000000,"15L-20L","20L-30L"))))))</calculatedColumnFormula>
    </tableColumn>
    <tableColumn id="11" xr3:uid="{C3353FE3-DEE0-49A4-86B6-8358CD8AD44B}" name="Annual_Salary_INR"/>
    <tableColumn id="12" xr3:uid="{314C27A9-81C7-458A-9AA0-6CB73F03F040}" name="Performance_Rating"/>
    <tableColumn id="13" xr3:uid="{5BBD903F-3F6B-4568-90AC-465EC26C966A}" name="Education"/>
    <tableColumn id="14" xr3:uid="{545AA7DA-22D2-410C-8AD0-9222D52D0F9D}" name="Marital_Status"/>
    <tableColumn id="15" xr3:uid="{2889A2E5-175F-49CF-BB4A-5E662C445416}" name="Location"/>
    <tableColumn id="16" xr3:uid="{930D291B-234A-4444-86A1-B6650F0EC1B5}" name="Last_Promotion_Date" dataDxfId="6"/>
    <tableColumn id="17" xr3:uid="{57FA3E18-EA75-4C95-959C-BEE0E92CB584}" name="Years_At_Company"/>
    <tableColumn id="18" xr3:uid="{9436C651-E26E-48C7-A043-FD4E4D347076}" name="Job_Satisfaction"/>
    <tableColumn id="19" xr3:uid="{D7D6BBC0-2EED-467A-8CF8-8A5BE7089DD3}" name="Work_Life_Balance"/>
    <tableColumn id="20" xr3:uid="{E8074597-E9E6-4606-B483-50A91DB0F10A}" name="Avg_Overtime_Hrs_Month"/>
    <tableColumn id="21" xr3:uid="{425AB29E-40F1-4363-9872-B30B1E73BF66}" name="Training_Hours_Last_Year"/>
    <tableColumn id="22" xr3:uid="{E2C608BE-F598-4A3D-AECD-4A34B81F5753}" name="Distance_From_Home_KM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8B897A-17FD-4C43-BC61-6790062A23A4}" name="Table2" displayName="Table2" ref="A1:G6" totalsRowShown="0" headerRowDxfId="5" headerRowBorderDxfId="4" tableBorderDxfId="3">
  <autoFilter ref="A1:G6" xr:uid="{418B897A-17FD-4C43-BC61-6790062A23A4}"/>
  <tableColumns count="7">
    <tableColumn id="1" xr3:uid="{09635615-73D8-4367-8A2F-F881D183B328}" name="Department" dataDxfId="2"/>
    <tableColumn id="2" xr3:uid="{60BDD00B-3BD2-406B-89F1-F7B3F7A01AE5}" name="Total_Employees"/>
    <tableColumn id="3" xr3:uid="{F5C0190D-EEEB-4BB8-A134-B40DAE6D0684}" name="Active"/>
    <tableColumn id="4" xr3:uid="{8D0BE8A0-CA40-4C30-B7DD-DFADE6C4A34A}" name="Left"/>
    <tableColumn id="5" xr3:uid="{E97D87FD-D1E1-4424-8418-DA5D7086C190}" name="Attrition_Rate"/>
    <tableColumn id="6" xr3:uid="{6BE787FD-10B6-4DEF-9438-17125C3C61AE}" name="Avg_Salary"/>
    <tableColumn id="7" xr3:uid="{CF821949-7DB4-48D9-A36A-4CA6ED7BAE37}" name="Avg_Performa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01"/>
  <sheetViews>
    <sheetView tabSelected="1" topLeftCell="G1" zoomScale="85" zoomScaleNormal="85" workbookViewId="0">
      <selection activeCell="AC8" sqref="AC8"/>
    </sheetView>
  </sheetViews>
  <sheetFormatPr defaultRowHeight="14.5" x14ac:dyDescent="0.35"/>
  <cols>
    <col min="1" max="1" width="13.81640625" customWidth="1"/>
    <col min="2" max="2" width="16.90625" customWidth="1"/>
    <col min="4" max="4" width="9" customWidth="1"/>
    <col min="5" max="5" width="15.90625" bestFit="1" customWidth="1"/>
    <col min="6" max="6" width="12.7265625" customWidth="1"/>
    <col min="7" max="7" width="13.54296875" customWidth="1"/>
    <col min="8" max="8" width="14" customWidth="1"/>
    <col min="9" max="9" width="14" style="9" customWidth="1"/>
    <col min="10" max="10" width="23.54296875" style="7" customWidth="1"/>
    <col min="11" max="11" width="16" bestFit="1" customWidth="1"/>
    <col min="12" max="12" width="16" customWidth="1"/>
    <col min="13" max="13" width="19.7265625" customWidth="1"/>
    <col min="14" max="14" width="10" customWidth="1"/>
    <col min="15" max="15" width="13.81640625" bestFit="1" customWidth="1"/>
    <col min="16" max="16" width="13.81640625" customWidth="1"/>
    <col min="17" max="17" width="18.6328125" customWidth="1"/>
    <col min="18" max="18" width="19.90625" customWidth="1"/>
    <col min="19" max="19" width="11.1796875" customWidth="1"/>
    <col min="20" max="20" width="15.1796875" customWidth="1"/>
    <col min="21" max="21" width="9.90625" customWidth="1"/>
    <col min="22" max="22" width="21.1796875" customWidth="1"/>
    <col min="23" max="23" width="19.1796875" customWidth="1"/>
    <col min="24" max="24" width="16.36328125" customWidth="1"/>
    <col min="25" max="25" width="18.81640625" customWidth="1"/>
    <col min="26" max="26" width="25.1796875" customWidth="1"/>
    <col min="27" max="27" width="24.6328125" customWidth="1"/>
    <col min="28" max="28" width="25.1796875" customWidth="1"/>
  </cols>
  <sheetData>
    <row r="1" spans="1:2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8" t="s">
        <v>462</v>
      </c>
      <c r="J1" s="6" t="s">
        <v>465</v>
      </c>
      <c r="K1" s="2" t="s">
        <v>463</v>
      </c>
      <c r="L1" s="2" t="s">
        <v>464</v>
      </c>
      <c r="M1" s="2" t="s">
        <v>8</v>
      </c>
      <c r="N1" s="2" t="s">
        <v>9</v>
      </c>
      <c r="O1" s="2" t="s">
        <v>467</v>
      </c>
      <c r="P1" s="2" t="s">
        <v>466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</row>
    <row r="2" spans="1:28" x14ac:dyDescent="0.35">
      <c r="A2" t="s">
        <v>314</v>
      </c>
      <c r="B2" t="s">
        <v>315</v>
      </c>
      <c r="C2">
        <v>23</v>
      </c>
      <c r="D2" t="s">
        <v>41</v>
      </c>
      <c r="E2" t="s">
        <v>89</v>
      </c>
      <c r="F2" t="s">
        <v>152</v>
      </c>
      <c r="G2" s="1">
        <v>44621</v>
      </c>
      <c r="I2" s="9">
        <f ca="1">DATEDIF(G2,IF(H2="",TODAY(),H2),"Y")+DATEDIF(G2,IF(H2="",TODAY(),H2),"Ym")/12</f>
        <v>4.5</v>
      </c>
      <c r="J2" s="7" cm="1">
        <f t="array" aca="1" ref="J2" ca="1">IF(ISNUMBER(I2), I2, DAY (I2) + HOUR (I2)/24)</f>
        <v>4.5</v>
      </c>
      <c r="K2" t="str">
        <f ca="1">IF(I2&lt;1,"0-1 yr", IF(I2&lt;3,"0-3 Yrs", IF(I2&lt;5, "3-5 yrs","5+Yrs")))</f>
        <v>3-5 yrs</v>
      </c>
      <c r="L2" t="str">
        <f ca="1">IF(M2&lt;&gt;"Left","",IF(Z2&gt;20,"Work-Life Balance",IF(OR(X2&lt;=2,Y2&lt;=2),"Work Culture",IF(Q2&lt;AVERAGEIFS($Q$2:$Q$201,$E$2:$E$201,E2),"Better Salary",IF(IFERROR(DATEDIF(V2,IF(H2="",TODAY(),H2),"y"),0)&gt;=3,"Career Growth","Better Opportunity")))))</f>
        <v/>
      </c>
      <c r="M2" t="s">
        <v>27</v>
      </c>
      <c r="N2" t="s">
        <v>28</v>
      </c>
      <c r="O2">
        <f t="shared" ref="O2:O33" si="0">Q2*1/100000</f>
        <v>3.6380400000000002</v>
      </c>
      <c r="P2" t="str">
        <f t="shared" ref="P2:P33" si="1">IF(Q2*1&lt;600000,"3L-6L",IF(Q2*1&lt;800000,"6L-8L",IF(Q2*1&lt;1000000,"8L-10L",IF(Q2*1&lt;1200000,"10L-12L",IF(Q2*1&lt;1500000,"12L-15L",IF(Q2*1&lt;2000000,"15L-20L","20L-30L"))))))</f>
        <v>3L-6L</v>
      </c>
      <c r="Q2">
        <v>363804</v>
      </c>
      <c r="R2">
        <v>3</v>
      </c>
      <c r="S2" t="s">
        <v>36</v>
      </c>
      <c r="T2" t="s">
        <v>43</v>
      </c>
      <c r="U2" t="s">
        <v>106</v>
      </c>
      <c r="V2" s="1">
        <v>45369</v>
      </c>
      <c r="W2">
        <v>4.5</v>
      </c>
      <c r="X2">
        <v>4</v>
      </c>
      <c r="Y2">
        <v>5</v>
      </c>
      <c r="Z2">
        <v>7</v>
      </c>
      <c r="AA2">
        <v>30</v>
      </c>
      <c r="AB2">
        <v>6</v>
      </c>
    </row>
    <row r="3" spans="1:28" x14ac:dyDescent="0.35">
      <c r="A3" t="s">
        <v>379</v>
      </c>
      <c r="B3" t="s">
        <v>380</v>
      </c>
      <c r="C3">
        <v>27</v>
      </c>
      <c r="D3" t="s">
        <v>24</v>
      </c>
      <c r="E3" t="s">
        <v>89</v>
      </c>
      <c r="F3" t="s">
        <v>152</v>
      </c>
      <c r="G3" s="1">
        <v>45146</v>
      </c>
      <c r="I3" s="9">
        <f ca="1">DATEDIF(G3,IF(H3="",TODAY(),H3),"Y")+DATEDIF(G3,IF(H3="",TODAY(),H3),"Ym")/12</f>
        <v>3</v>
      </c>
      <c r="J3" s="7" cm="1">
        <f t="array" aca="1" ref="J3" ca="1">IF(ISNUMBER(I3), I3, DAY (I3) + HOUR (I3)/24)</f>
        <v>3</v>
      </c>
      <c r="K3" t="str">
        <f ca="1">IF(I3&lt;1,"0-1 yr", IF(I3&lt;3,"0-3 Yrs", IF(I3&lt;5, "3-5 yrs","5+Yrs")))</f>
        <v>3-5 yrs</v>
      </c>
      <c r="L3" t="str">
        <f ca="1">IF(M3&lt;&gt;"Left","",IF(Z3&gt;20,"Work-Life Balance",IF(OR(X3&lt;=2,Y3&lt;=2),"Work Culture",IF(Q3&lt;AVERAGEIFS($Q$2:$Q$201,$E$2:$E$201,E3),"Better Salary",IF(IFERROR(DATEDIF(V3,IF(H3="",TODAY(),H3),"y"),0)&gt;=3,"Career Growth","Better Opportunity")))))</f>
        <v/>
      </c>
      <c r="M3" t="s">
        <v>27</v>
      </c>
      <c r="N3" t="s">
        <v>28</v>
      </c>
      <c r="O3">
        <f t="shared" si="0"/>
        <v>3.8031600000000001</v>
      </c>
      <c r="P3" t="str">
        <f t="shared" si="1"/>
        <v>3L-6L</v>
      </c>
      <c r="Q3">
        <v>380316</v>
      </c>
      <c r="R3">
        <v>4</v>
      </c>
      <c r="S3" t="s">
        <v>73</v>
      </c>
      <c r="T3" t="s">
        <v>30</v>
      </c>
      <c r="U3" t="s">
        <v>87</v>
      </c>
      <c r="V3" s="1">
        <v>46088</v>
      </c>
      <c r="W3">
        <v>3.06</v>
      </c>
      <c r="X3">
        <v>2</v>
      </c>
      <c r="Y3">
        <v>4</v>
      </c>
      <c r="Z3">
        <v>12</v>
      </c>
      <c r="AA3">
        <v>47</v>
      </c>
      <c r="AB3">
        <v>12</v>
      </c>
    </row>
    <row r="4" spans="1:28" x14ac:dyDescent="0.35">
      <c r="A4" t="s">
        <v>371</v>
      </c>
      <c r="B4" t="s">
        <v>372</v>
      </c>
      <c r="C4">
        <v>24</v>
      </c>
      <c r="D4" t="s">
        <v>41</v>
      </c>
      <c r="E4" t="s">
        <v>89</v>
      </c>
      <c r="F4" t="s">
        <v>152</v>
      </c>
      <c r="G4" s="1">
        <v>45117</v>
      </c>
      <c r="I4" s="9">
        <f ca="1">DATEDIF(G4,IF(H4="",TODAY(),H4),"Y")+DATEDIF(G4,IF(H4="",TODAY(),H4),"Ym")/12</f>
        <v>3.0833333333333335</v>
      </c>
      <c r="J4" s="7" cm="1">
        <f t="array" aca="1" ref="J4" ca="1">IF(ISNUMBER(I4), I4, DAY (I4) + HOUR (I4)/24)</f>
        <v>3.0833333333333335</v>
      </c>
      <c r="K4" t="str">
        <f ca="1">IF(I4&lt;1,"0-1 yr", IF(I4&lt;3,"0-3 Yrs", IF(I4&lt;5, "3-5 yrs","5+Yrs")))</f>
        <v>3-5 yrs</v>
      </c>
      <c r="L4" t="str">
        <f ca="1">IF(M4&lt;&gt;"Left","",IF(Z4&gt;20,"Work-Life Balance",IF(OR(X4&lt;=2,Y4&lt;=2),"Work Culture",IF(Q4&lt;AVERAGEIFS($Q$2:$Q$201,$E$2:$E$201,E4),"Better Salary",IF(IFERROR(DATEDIF(V4,IF(H4="",TODAY(),H4),"y"),0)&gt;=3,"Career Growth","Better Opportunity")))))</f>
        <v/>
      </c>
      <c r="M4" t="s">
        <v>27</v>
      </c>
      <c r="N4" t="s">
        <v>28</v>
      </c>
      <c r="O4">
        <f t="shared" si="0"/>
        <v>4.1854500000000003</v>
      </c>
      <c r="P4" t="str">
        <f t="shared" si="1"/>
        <v>3L-6L</v>
      </c>
      <c r="Q4">
        <v>418545</v>
      </c>
      <c r="R4">
        <v>3</v>
      </c>
      <c r="S4" t="s">
        <v>48</v>
      </c>
      <c r="T4" t="s">
        <v>43</v>
      </c>
      <c r="U4" t="s">
        <v>84</v>
      </c>
      <c r="W4">
        <v>3.14</v>
      </c>
      <c r="X4">
        <v>1</v>
      </c>
      <c r="Y4">
        <v>4</v>
      </c>
      <c r="Z4">
        <v>14</v>
      </c>
      <c r="AA4">
        <v>12</v>
      </c>
      <c r="AB4">
        <v>35</v>
      </c>
    </row>
    <row r="5" spans="1:28" x14ac:dyDescent="0.35">
      <c r="A5" t="s">
        <v>224</v>
      </c>
      <c r="B5" t="s">
        <v>225</v>
      </c>
      <c r="C5">
        <v>29</v>
      </c>
      <c r="D5" t="s">
        <v>24</v>
      </c>
      <c r="E5" t="s">
        <v>89</v>
      </c>
      <c r="F5" t="s">
        <v>152</v>
      </c>
      <c r="G5" s="1">
        <v>43586</v>
      </c>
      <c r="I5" s="9">
        <f ca="1">DATEDIF(G5,IF(H5="",TODAY(),H5),"Y")+DATEDIF(G5,IF(H5="",TODAY(),H5),"Ym")/12</f>
        <v>7.333333333333333</v>
      </c>
      <c r="J5" s="7" cm="1">
        <f t="array" aca="1" ref="J5" ca="1">IF(ISNUMBER(I5), I5, DAY (I5) + HOUR (I5)/24)</f>
        <v>7.333333333333333</v>
      </c>
      <c r="K5" t="str">
        <f ca="1">IF(I5&lt;1,"0-1 yr", IF(I5&lt;3,"0-3 Yrs", IF(I5&lt;5, "3-5 yrs","5+Yrs")))</f>
        <v>5+Yrs</v>
      </c>
      <c r="L5" t="str">
        <f ca="1">IF(M5&lt;&gt;"Left","",IF(Z5&gt;20,"Work-Life Balance",IF(OR(X5&lt;=2,Y5&lt;=2),"Work Culture",IF(Q5&lt;AVERAGEIFS($Q$2:$Q$201,$E$2:$E$201,E5),"Better Salary",IF(IFERROR(DATEDIF(V5,IF(H5="",TODAY(),H5),"y"),0)&gt;=3,"Career Growth","Better Opportunity")))))</f>
        <v/>
      </c>
      <c r="M5" t="s">
        <v>27</v>
      </c>
      <c r="N5" t="s">
        <v>28</v>
      </c>
      <c r="O5">
        <f t="shared" si="0"/>
        <v>4.2008999999999999</v>
      </c>
      <c r="P5" t="str">
        <f t="shared" si="1"/>
        <v>3L-6L</v>
      </c>
      <c r="Q5">
        <v>420090</v>
      </c>
      <c r="R5">
        <v>3</v>
      </c>
      <c r="S5" t="s">
        <v>98</v>
      </c>
      <c r="T5" t="s">
        <v>43</v>
      </c>
      <c r="U5" t="s">
        <v>106</v>
      </c>
      <c r="V5" s="1">
        <v>44291</v>
      </c>
      <c r="W5">
        <v>7.33</v>
      </c>
      <c r="X5">
        <v>1</v>
      </c>
      <c r="Y5">
        <v>3</v>
      </c>
      <c r="Z5">
        <v>3</v>
      </c>
      <c r="AA5">
        <v>12</v>
      </c>
      <c r="AB5">
        <v>29</v>
      </c>
    </row>
    <row r="6" spans="1:28" x14ac:dyDescent="0.35">
      <c r="A6" t="s">
        <v>397</v>
      </c>
      <c r="B6" t="s">
        <v>398</v>
      </c>
      <c r="C6">
        <v>29</v>
      </c>
      <c r="D6" t="s">
        <v>41</v>
      </c>
      <c r="E6" t="s">
        <v>34</v>
      </c>
      <c r="F6" t="s">
        <v>47</v>
      </c>
      <c r="G6" s="1">
        <v>45266</v>
      </c>
      <c r="I6" s="9">
        <f ca="1">DATEDIF(G6,IF(H6="",TODAY(),H6),"Y")+DATEDIF(G6,IF(H6="",TODAY(),H6),"Ym")/12</f>
        <v>2.6666666666666665</v>
      </c>
      <c r="J6" s="7" cm="1">
        <f t="array" aca="1" ref="J6" ca="1">IF(ISNUMBER(I6), I6, DAY (I6) + HOUR (I6)/24)</f>
        <v>2.6666666666666665</v>
      </c>
      <c r="K6" t="str">
        <f ca="1">IF(I6&lt;1,"0-1 yr", IF(I6&lt;3,"0-3 Yrs", IF(I6&lt;5, "3-5 yrs","5+Yrs")))</f>
        <v>0-3 Yrs</v>
      </c>
      <c r="L6" t="str">
        <f ca="1">IF(M6&lt;&gt;"Left","",IF(Z6&gt;20,"Work-Life Balance",IF(OR(X6&lt;=2,Y6&lt;=2),"Work Culture",IF(Q6&lt;AVERAGEIFS($Q$2:$Q$201,$E$2:$E$201,E6),"Better Salary",IF(IFERROR(DATEDIF(V6,IF(H6="",TODAY(),H6),"y"),0)&gt;=3,"Career Growth","Better Opportunity")))))</f>
        <v/>
      </c>
      <c r="M6" t="s">
        <v>27</v>
      </c>
      <c r="N6" t="s">
        <v>28</v>
      </c>
      <c r="O6">
        <f t="shared" si="0"/>
        <v>4.2063800000000002</v>
      </c>
      <c r="P6" t="str">
        <f t="shared" si="1"/>
        <v>3L-6L</v>
      </c>
      <c r="Q6">
        <v>420638</v>
      </c>
      <c r="R6">
        <v>2</v>
      </c>
      <c r="S6" t="s">
        <v>52</v>
      </c>
      <c r="T6" t="s">
        <v>43</v>
      </c>
      <c r="U6" t="s">
        <v>58</v>
      </c>
      <c r="V6" s="1">
        <v>45883</v>
      </c>
      <c r="W6">
        <v>2.73</v>
      </c>
      <c r="X6">
        <v>1</v>
      </c>
      <c r="Y6">
        <v>3</v>
      </c>
      <c r="Z6">
        <v>0</v>
      </c>
      <c r="AA6">
        <v>21</v>
      </c>
      <c r="AB6">
        <v>8</v>
      </c>
    </row>
    <row r="7" spans="1:28" x14ac:dyDescent="0.35">
      <c r="A7" t="s">
        <v>369</v>
      </c>
      <c r="B7" t="s">
        <v>370</v>
      </c>
      <c r="C7">
        <v>29</v>
      </c>
      <c r="D7" t="s">
        <v>24</v>
      </c>
      <c r="E7" t="s">
        <v>56</v>
      </c>
      <c r="F7" t="s">
        <v>93</v>
      </c>
      <c r="G7" s="1">
        <v>45086</v>
      </c>
      <c r="I7" s="9">
        <f ca="1">DATEDIF(G7,IF(H7="",TODAY(),H7),"Y")+DATEDIF(G7,IF(H7="",TODAY(),H7),"Ym")/12</f>
        <v>3.1666666666666665</v>
      </c>
      <c r="J7" s="7" cm="1">
        <f t="array" aca="1" ref="J7" ca="1">IF(ISNUMBER(I7), I7, DAY (I7) + HOUR (I7)/24)</f>
        <v>3.1666666666666665</v>
      </c>
      <c r="K7" t="str">
        <f ca="1">IF(I7&lt;1,"0-1 yr", IF(I7&lt;3,"0-3 Yrs", IF(I7&lt;5, "3-5 yrs","5+Yrs")))</f>
        <v>3-5 yrs</v>
      </c>
      <c r="L7" t="str">
        <f ca="1">IF(M7&lt;&gt;"Left","",IF(Z7&gt;20,"Work-Life Balance",IF(OR(X7&lt;=2,Y7&lt;=2),"Work Culture",IF(Q7&lt;AVERAGEIFS($Q$2:$Q$201,$E$2:$E$201,E7),"Better Salary",IF(IFERROR(DATEDIF(V7,IF(H7="",TODAY(),H7),"y"),0)&gt;=3,"Career Growth","Better Opportunity")))))</f>
        <v/>
      </c>
      <c r="M7" t="s">
        <v>27</v>
      </c>
      <c r="N7" t="s">
        <v>28</v>
      </c>
      <c r="O7">
        <f t="shared" si="0"/>
        <v>4.2206799999999998</v>
      </c>
      <c r="P7" t="str">
        <f t="shared" si="1"/>
        <v>3L-6L</v>
      </c>
      <c r="Q7">
        <v>422068</v>
      </c>
      <c r="R7">
        <v>4</v>
      </c>
      <c r="S7" t="s">
        <v>73</v>
      </c>
      <c r="T7" t="s">
        <v>43</v>
      </c>
      <c r="U7" t="s">
        <v>53</v>
      </c>
      <c r="W7">
        <v>3.23</v>
      </c>
      <c r="X7">
        <v>5</v>
      </c>
      <c r="Y7">
        <v>4</v>
      </c>
      <c r="Z7">
        <v>13</v>
      </c>
      <c r="AA7">
        <v>16</v>
      </c>
      <c r="AB7">
        <v>27</v>
      </c>
    </row>
    <row r="8" spans="1:28" x14ac:dyDescent="0.35">
      <c r="A8" t="s">
        <v>341</v>
      </c>
      <c r="B8" t="s">
        <v>342</v>
      </c>
      <c r="C8">
        <v>35</v>
      </c>
      <c r="D8" t="s">
        <v>24</v>
      </c>
      <c r="E8" t="s">
        <v>89</v>
      </c>
      <c r="F8" t="s">
        <v>152</v>
      </c>
      <c r="G8" s="1">
        <v>44832</v>
      </c>
      <c r="I8" s="9">
        <f ca="1">DATEDIF(G8,IF(H8="",TODAY(),H8),"Y")+DATEDIF(G8,IF(H8="",TODAY(),H8),"Ym")/12</f>
        <v>3.9166666666666665</v>
      </c>
      <c r="J8" s="7" cm="1">
        <f t="array" aca="1" ref="J8" ca="1">IF(ISNUMBER(I8), I8, DAY (I8) + HOUR (I8)/24)</f>
        <v>3.9166666666666665</v>
      </c>
      <c r="K8" t="str">
        <f ca="1">IF(I8&lt;1,"0-1 yr", IF(I8&lt;3,"0-3 Yrs", IF(I8&lt;5, "3-5 yrs","5+Yrs")))</f>
        <v>3-5 yrs</v>
      </c>
      <c r="L8" t="str">
        <f ca="1">IF(M8&lt;&gt;"Left","",IF(Z8&gt;20,"Work-Life Balance",IF(OR(X8&lt;=2,Y8&lt;=2),"Work Culture",IF(Q8&lt;AVERAGEIFS($Q$2:$Q$201,$E$2:$E$201,E8),"Better Salary",IF(IFERROR(DATEDIF(V8,IF(H8="",TODAY(),H8),"y"),0)&gt;=3,"Career Growth","Better Opportunity")))))</f>
        <v/>
      </c>
      <c r="M8" t="s">
        <v>27</v>
      </c>
      <c r="N8" t="s">
        <v>28</v>
      </c>
      <c r="O8">
        <f t="shared" si="0"/>
        <v>4.40388</v>
      </c>
      <c r="P8" t="str">
        <f t="shared" si="1"/>
        <v>3L-6L</v>
      </c>
      <c r="Q8">
        <v>440388</v>
      </c>
      <c r="R8">
        <v>4</v>
      </c>
      <c r="S8" t="s">
        <v>52</v>
      </c>
      <c r="T8" t="s">
        <v>30</v>
      </c>
      <c r="U8" t="s">
        <v>53</v>
      </c>
      <c r="V8" s="1">
        <v>45919</v>
      </c>
      <c r="W8">
        <v>3.92</v>
      </c>
      <c r="X8">
        <v>4</v>
      </c>
      <c r="Y8">
        <v>5</v>
      </c>
      <c r="Z8">
        <v>14</v>
      </c>
      <c r="AA8">
        <v>66</v>
      </c>
      <c r="AB8">
        <v>6</v>
      </c>
    </row>
    <row r="9" spans="1:28" x14ac:dyDescent="0.35">
      <c r="A9" t="s">
        <v>168</v>
      </c>
      <c r="B9" t="s">
        <v>169</v>
      </c>
      <c r="C9">
        <v>29</v>
      </c>
      <c r="D9" t="s">
        <v>41</v>
      </c>
      <c r="E9" t="s">
        <v>89</v>
      </c>
      <c r="F9" t="s">
        <v>152</v>
      </c>
      <c r="G9" s="1">
        <v>43099</v>
      </c>
      <c r="I9" s="9">
        <f ca="1">DATEDIF(G9,IF(H9="",TODAY(),H9),"Y")+DATEDIF(G9,IF(H9="",TODAY(),H9),"Ym")/12</f>
        <v>8.6666666666666661</v>
      </c>
      <c r="J9" s="7" cm="1">
        <f t="array" aca="1" ref="J9" ca="1">IF(ISNUMBER(I9), I9, DAY (I9) + HOUR (I9)/24)</f>
        <v>8.6666666666666661</v>
      </c>
      <c r="K9" t="str">
        <f ca="1">IF(I9&lt;1,"0-1 yr", IF(I9&lt;3,"0-3 Yrs", IF(I9&lt;5, "3-5 yrs","5+Yrs")))</f>
        <v>5+Yrs</v>
      </c>
      <c r="L9" t="str">
        <f ca="1">IF(M9&lt;&gt;"Left","",IF(Z9&gt;20,"Work-Life Balance",IF(OR(X9&lt;=2,Y9&lt;=2),"Work Culture",IF(Q9&lt;AVERAGEIFS($Q$2:$Q$201,$E$2:$E$201,E9),"Better Salary",IF(IFERROR(DATEDIF(V9,IF(H9="",TODAY(),H9),"y"),0)&gt;=3,"Career Growth","Better Opportunity")))))</f>
        <v/>
      </c>
      <c r="M9" t="s">
        <v>27</v>
      </c>
      <c r="N9" t="s">
        <v>28</v>
      </c>
      <c r="O9">
        <f t="shared" si="0"/>
        <v>4.4542099999999998</v>
      </c>
      <c r="P9" t="str">
        <f t="shared" si="1"/>
        <v>3L-6L</v>
      </c>
      <c r="Q9">
        <v>445421</v>
      </c>
      <c r="R9">
        <v>2</v>
      </c>
      <c r="S9" t="s">
        <v>52</v>
      </c>
      <c r="T9" t="s">
        <v>37</v>
      </c>
      <c r="U9" t="s">
        <v>53</v>
      </c>
      <c r="W9">
        <v>8.67</v>
      </c>
      <c r="X9">
        <v>2</v>
      </c>
      <c r="Y9">
        <v>3</v>
      </c>
      <c r="Z9">
        <v>3</v>
      </c>
      <c r="AA9">
        <v>49</v>
      </c>
      <c r="AB9">
        <v>3</v>
      </c>
    </row>
    <row r="10" spans="1:28" x14ac:dyDescent="0.35">
      <c r="A10" t="s">
        <v>197</v>
      </c>
      <c r="B10" t="s">
        <v>198</v>
      </c>
      <c r="C10">
        <v>26</v>
      </c>
      <c r="D10" t="s">
        <v>24</v>
      </c>
      <c r="E10" t="s">
        <v>56</v>
      </c>
      <c r="F10" t="s">
        <v>57</v>
      </c>
      <c r="G10" s="1">
        <v>43416</v>
      </c>
      <c r="I10" s="9">
        <f ca="1">DATEDIF(G10,IF(H10="",TODAY(),H10),"Y")+DATEDIF(G10,IF(H10="",TODAY(),H10),"Ym")/12</f>
        <v>7.75</v>
      </c>
      <c r="J10" s="7" cm="1">
        <f t="array" aca="1" ref="J10" ca="1">IF(ISNUMBER(I10), I10, DAY (I10) + HOUR (I10)/24)</f>
        <v>7.75</v>
      </c>
      <c r="K10" t="str">
        <f ca="1">IF(I10&lt;1,"0-1 yr", IF(I10&lt;3,"0-3 Yrs", IF(I10&lt;5, "3-5 yrs","5+Yrs")))</f>
        <v>5+Yrs</v>
      </c>
      <c r="L10" t="str">
        <f ca="1">IF(M10&lt;&gt;"Left","",IF(Z10&gt;20,"Work-Life Balance",IF(OR(X10&lt;=2,Y10&lt;=2),"Work Culture",IF(Q10&lt;AVERAGEIFS($Q$2:$Q$201,$E$2:$E$201,E10),"Better Salary",IF(IFERROR(DATEDIF(V10,IF(H10="",TODAY(),H10),"y"),0)&gt;=3,"Career Growth","Better Opportunity")))))</f>
        <v/>
      </c>
      <c r="M10" t="s">
        <v>27</v>
      </c>
      <c r="N10" t="s">
        <v>28</v>
      </c>
      <c r="O10">
        <f t="shared" si="0"/>
        <v>4.5758200000000002</v>
      </c>
      <c r="P10" t="str">
        <f t="shared" si="1"/>
        <v>3L-6L</v>
      </c>
      <c r="Q10">
        <v>457582</v>
      </c>
      <c r="R10">
        <v>3</v>
      </c>
      <c r="S10" t="s">
        <v>52</v>
      </c>
      <c r="T10" t="s">
        <v>30</v>
      </c>
      <c r="U10" t="s">
        <v>84</v>
      </c>
      <c r="V10" s="1">
        <v>43998</v>
      </c>
      <c r="W10">
        <v>7.8</v>
      </c>
      <c r="X10">
        <v>4</v>
      </c>
      <c r="Y10">
        <v>2</v>
      </c>
      <c r="Z10">
        <v>11</v>
      </c>
      <c r="AA10">
        <v>6</v>
      </c>
      <c r="AB10">
        <v>14</v>
      </c>
    </row>
    <row r="11" spans="1:28" x14ac:dyDescent="0.35">
      <c r="A11" t="s">
        <v>207</v>
      </c>
      <c r="B11" t="s">
        <v>208</v>
      </c>
      <c r="C11">
        <v>22</v>
      </c>
      <c r="D11" t="s">
        <v>24</v>
      </c>
      <c r="E11" t="s">
        <v>25</v>
      </c>
      <c r="F11" t="s">
        <v>209</v>
      </c>
      <c r="G11" s="1">
        <v>43503</v>
      </c>
      <c r="H11" s="1">
        <v>43787</v>
      </c>
      <c r="I11" s="9">
        <f ca="1">DATEDIF(G11,IF(H11="",TODAY(),H11),"Y")+DATEDIF(G11,IF(H11="",TODAY(),H11),"Ym")/12</f>
        <v>0.75</v>
      </c>
      <c r="J11" s="7" cm="1">
        <f t="array" aca="1" ref="J11" ca="1">IF(ISNUMBER(I11), I11, DAY (I11) + HOUR (I11)/24)</f>
        <v>0.75</v>
      </c>
      <c r="K11" s="1" t="str">
        <f ca="1">IF(I11&lt;1,"0-1 yr", IF(I11&lt;3,"0-3 Yrs", IF(I11&lt;5, "3-5 yrs","5+Yrs")))</f>
        <v>0-1 yr</v>
      </c>
      <c r="L11" t="str">
        <f ca="1">IF(M11&lt;&gt;"Left","",IF(Z11&gt;20,"Work-Life Balance",IF(OR(X11&lt;=2,Y11&lt;=2),"Work Culture",IF(Q11&lt;AVERAGEIFS($Q$2:$Q$201,$E$2:$E$201,E11),"Better Salary",IF(IFERROR(DATEDIF(V11,IF(H11="",TODAY(),H11),"y"),0)&gt;=3,"Career Growth","Better Opportunity")))))</f>
        <v>Better Salary</v>
      </c>
      <c r="M11" t="s">
        <v>69</v>
      </c>
      <c r="N11" t="s">
        <v>70</v>
      </c>
      <c r="O11">
        <f t="shared" si="0"/>
        <v>4.6690699999999996</v>
      </c>
      <c r="P11" t="str">
        <f t="shared" si="1"/>
        <v>3L-6L</v>
      </c>
      <c r="Q11">
        <v>466907</v>
      </c>
      <c r="R11">
        <v>3</v>
      </c>
      <c r="S11" t="s">
        <v>73</v>
      </c>
      <c r="T11" t="s">
        <v>30</v>
      </c>
      <c r="U11" t="s">
        <v>31</v>
      </c>
      <c r="V11" s="1">
        <v>46069</v>
      </c>
      <c r="W11">
        <v>0.78</v>
      </c>
      <c r="X11">
        <v>5</v>
      </c>
      <c r="Y11">
        <v>4</v>
      </c>
      <c r="Z11">
        <v>13</v>
      </c>
      <c r="AA11">
        <v>38</v>
      </c>
      <c r="AB11">
        <v>15</v>
      </c>
    </row>
    <row r="12" spans="1:28" x14ac:dyDescent="0.35">
      <c r="A12" t="s">
        <v>361</v>
      </c>
      <c r="B12" t="s">
        <v>362</v>
      </c>
      <c r="C12">
        <v>27</v>
      </c>
      <c r="D12" t="s">
        <v>24</v>
      </c>
      <c r="E12" t="s">
        <v>25</v>
      </c>
      <c r="F12" t="s">
        <v>234</v>
      </c>
      <c r="G12" s="1">
        <v>45049</v>
      </c>
      <c r="I12" s="9">
        <f ca="1">DATEDIF(G12,IF(H12="",TODAY(),H12),"Y")+DATEDIF(G12,IF(H12="",TODAY(),H12),"Ym")/12</f>
        <v>3.3333333333333335</v>
      </c>
      <c r="J12" s="7" cm="1">
        <f t="array" aca="1" ref="J12" ca="1">IF(ISNUMBER(I12), I12, DAY (I12) + HOUR (I12)/24)</f>
        <v>3.3333333333333335</v>
      </c>
      <c r="K12" t="str">
        <f ca="1">IF(I12&lt;1,"0-1 yr", IF(I12&lt;3,"0-3 Yrs", IF(I12&lt;5, "3-5 yrs","5+Yrs")))</f>
        <v>3-5 yrs</v>
      </c>
      <c r="L12" t="str">
        <f ca="1">IF(M12&lt;&gt;"Left","",IF(Z12&gt;20,"Work-Life Balance",IF(OR(X12&lt;=2,Y12&lt;=2),"Work Culture",IF(Q12&lt;AVERAGEIFS($Q$2:$Q$201,$E$2:$E$201,E12),"Better Salary",IF(IFERROR(DATEDIF(V12,IF(H12="",TODAY(),H12),"y"),0)&gt;=3,"Career Growth","Better Opportunity")))))</f>
        <v/>
      </c>
      <c r="M12" t="s">
        <v>27</v>
      </c>
      <c r="N12" t="s">
        <v>28</v>
      </c>
      <c r="O12">
        <f t="shared" si="0"/>
        <v>4.7526200000000003</v>
      </c>
      <c r="P12" t="str">
        <f t="shared" si="1"/>
        <v>3L-6L</v>
      </c>
      <c r="Q12">
        <v>475262</v>
      </c>
      <c r="R12">
        <v>5</v>
      </c>
      <c r="S12" t="s">
        <v>52</v>
      </c>
      <c r="T12" t="s">
        <v>43</v>
      </c>
      <c r="U12" t="s">
        <v>122</v>
      </c>
      <c r="V12" s="1">
        <v>45540</v>
      </c>
      <c r="W12">
        <v>3.33</v>
      </c>
      <c r="X12">
        <v>5</v>
      </c>
      <c r="Y12">
        <v>3</v>
      </c>
      <c r="Z12">
        <v>16</v>
      </c>
      <c r="AA12">
        <v>73</v>
      </c>
      <c r="AB12">
        <v>32</v>
      </c>
    </row>
    <row r="13" spans="1:28" x14ac:dyDescent="0.35">
      <c r="A13" t="s">
        <v>189</v>
      </c>
      <c r="B13" t="s">
        <v>190</v>
      </c>
      <c r="C13">
        <v>54</v>
      </c>
      <c r="D13" t="s">
        <v>24</v>
      </c>
      <c r="E13" t="s">
        <v>56</v>
      </c>
      <c r="F13" t="s">
        <v>93</v>
      </c>
      <c r="G13" s="1">
        <v>43349</v>
      </c>
      <c r="I13" s="9">
        <f ca="1">DATEDIF(G13,IF(H13="",TODAY(),H13),"Y")+DATEDIF(G13,IF(H13="",TODAY(),H13),"Ym")/12</f>
        <v>7.916666666666667</v>
      </c>
      <c r="J13" s="7" cm="1">
        <f t="array" aca="1" ref="J13" ca="1">IF(ISNUMBER(I13), I13, DAY (I13) + HOUR (I13)/24)</f>
        <v>7.916666666666667</v>
      </c>
      <c r="K13" t="str">
        <f ca="1">IF(I13&lt;1,"0-1 yr", IF(I13&lt;3,"0-3 Yrs", IF(I13&lt;5, "3-5 yrs","5+Yrs")))</f>
        <v>5+Yrs</v>
      </c>
      <c r="L13" t="str">
        <f ca="1">IF(M13&lt;&gt;"Left","",IF(Z13&gt;20,"Work-Life Balance",IF(OR(X13&lt;=2,Y13&lt;=2),"Work Culture",IF(Q13&lt;AVERAGEIFS($Q$2:$Q$201,$E$2:$E$201,E13),"Better Salary",IF(IFERROR(DATEDIF(V13,IF(H13="",TODAY(),H13),"y"),0)&gt;=3,"Career Growth","Better Opportunity")))))</f>
        <v/>
      </c>
      <c r="M13" t="s">
        <v>27</v>
      </c>
      <c r="N13" t="s">
        <v>28</v>
      </c>
      <c r="O13">
        <f t="shared" si="0"/>
        <v>4.9591099999999999</v>
      </c>
      <c r="P13" t="str">
        <f t="shared" si="1"/>
        <v>3L-6L</v>
      </c>
      <c r="Q13">
        <v>495911</v>
      </c>
      <c r="R13">
        <v>2</v>
      </c>
      <c r="S13" t="s">
        <v>98</v>
      </c>
      <c r="T13" t="s">
        <v>37</v>
      </c>
      <c r="U13" t="s">
        <v>31</v>
      </c>
      <c r="W13">
        <v>7.98</v>
      </c>
      <c r="X13">
        <v>5</v>
      </c>
      <c r="Y13">
        <v>3</v>
      </c>
      <c r="Z13">
        <v>14</v>
      </c>
      <c r="AA13">
        <v>63</v>
      </c>
      <c r="AB13">
        <v>33</v>
      </c>
    </row>
    <row r="14" spans="1:28" x14ac:dyDescent="0.35">
      <c r="A14" t="s">
        <v>409</v>
      </c>
      <c r="B14" t="s">
        <v>410</v>
      </c>
      <c r="C14">
        <v>32</v>
      </c>
      <c r="D14" t="s">
        <v>41</v>
      </c>
      <c r="E14" t="s">
        <v>89</v>
      </c>
      <c r="F14" t="s">
        <v>152</v>
      </c>
      <c r="G14" s="1">
        <v>45357</v>
      </c>
      <c r="I14" s="9">
        <f ca="1">DATEDIF(G14,IF(H14="",TODAY(),H14),"Y")+DATEDIF(G14,IF(H14="",TODAY(),H14),"Ym")/12</f>
        <v>2.4166666666666665</v>
      </c>
      <c r="J14" s="7" cm="1">
        <f t="array" aca="1" ref="J14" ca="1">IF(ISNUMBER(I14), I14, DAY (I14) + HOUR (I14)/24)</f>
        <v>2.4166666666666665</v>
      </c>
      <c r="K14" t="str">
        <f ca="1">IF(I14&lt;1,"0-1 yr", IF(I14&lt;3,"0-3 Yrs", IF(I14&lt;5, "3-5 yrs","5+Yrs")))</f>
        <v>0-3 Yrs</v>
      </c>
      <c r="L14" t="str">
        <f ca="1">IF(M14&lt;&gt;"Left","",IF(Z14&gt;20,"Work-Life Balance",IF(OR(X14&lt;=2,Y14&lt;=2),"Work Culture",IF(Q14&lt;AVERAGEIFS($Q$2:$Q$201,$E$2:$E$201,E14),"Better Salary",IF(IFERROR(DATEDIF(V14,IF(H14="",TODAY(),H14),"y"),0)&gt;=3,"Career Growth","Better Opportunity")))))</f>
        <v/>
      </c>
      <c r="M14" t="s">
        <v>27</v>
      </c>
      <c r="N14" t="s">
        <v>28</v>
      </c>
      <c r="O14">
        <f t="shared" si="0"/>
        <v>4.97926</v>
      </c>
      <c r="P14" t="str">
        <f t="shared" si="1"/>
        <v>3L-6L</v>
      </c>
      <c r="Q14">
        <v>497926</v>
      </c>
      <c r="R14">
        <v>3</v>
      </c>
      <c r="S14" t="s">
        <v>36</v>
      </c>
      <c r="T14" t="s">
        <v>30</v>
      </c>
      <c r="U14" t="s">
        <v>58</v>
      </c>
      <c r="V14" s="1">
        <v>45860</v>
      </c>
      <c r="W14">
        <v>2.48</v>
      </c>
      <c r="X14">
        <v>2</v>
      </c>
      <c r="Y14">
        <v>4</v>
      </c>
      <c r="Z14">
        <v>5</v>
      </c>
      <c r="AA14">
        <v>28</v>
      </c>
      <c r="AB14">
        <v>6</v>
      </c>
    </row>
    <row r="15" spans="1:28" x14ac:dyDescent="0.35">
      <c r="A15" t="s">
        <v>54</v>
      </c>
      <c r="B15" t="s">
        <v>55</v>
      </c>
      <c r="C15">
        <v>38</v>
      </c>
      <c r="D15" t="s">
        <v>24</v>
      </c>
      <c r="E15" t="s">
        <v>56</v>
      </c>
      <c r="F15" t="s">
        <v>57</v>
      </c>
      <c r="G15" s="1">
        <v>42065</v>
      </c>
      <c r="I15" s="9">
        <f ca="1">DATEDIF(G15,IF(H15="",TODAY(),H15),"Y")+DATEDIF(G15,IF(H15="",TODAY(),H15),"Ym")/12</f>
        <v>11.5</v>
      </c>
      <c r="J15" s="7" cm="1">
        <f t="array" aca="1" ref="J15" ca="1">IF(ISNUMBER(I15), I15, DAY (I15) + HOUR (I15)/24)</f>
        <v>11.5</v>
      </c>
      <c r="K15" t="str">
        <f ca="1">IF(I15&lt;1,"0-1 yr", IF(I15&lt;3,"0-3 Yrs", IF(I15&lt;5, "3-5 yrs","5+Yrs")))</f>
        <v>5+Yrs</v>
      </c>
      <c r="L15" t="str">
        <f ca="1">IF(M15&lt;&gt;"Left","",IF(Z15&gt;20,"Work-Life Balance",IF(OR(X15&lt;=2,Y15&lt;=2),"Work Culture",IF(Q15&lt;AVERAGEIFS($Q$2:$Q$201,$E$2:$E$201,E15),"Better Salary",IF(IFERROR(DATEDIF(V15,IF(H15="",TODAY(),H15),"y"),0)&gt;=3,"Career Growth","Better Opportunity")))))</f>
        <v/>
      </c>
      <c r="M15" t="s">
        <v>27</v>
      </c>
      <c r="N15" t="s">
        <v>28</v>
      </c>
      <c r="O15">
        <f t="shared" si="0"/>
        <v>4.9804700000000004</v>
      </c>
      <c r="P15" t="str">
        <f t="shared" si="1"/>
        <v>3L-6L</v>
      </c>
      <c r="Q15">
        <v>498047</v>
      </c>
      <c r="R15">
        <v>4</v>
      </c>
      <c r="S15" t="s">
        <v>36</v>
      </c>
      <c r="T15" t="s">
        <v>30</v>
      </c>
      <c r="U15" t="s">
        <v>58</v>
      </c>
      <c r="V15" s="1">
        <v>42429</v>
      </c>
      <c r="W15">
        <v>11.5</v>
      </c>
      <c r="X15">
        <v>2</v>
      </c>
      <c r="Y15">
        <v>4</v>
      </c>
      <c r="Z15">
        <v>9</v>
      </c>
      <c r="AA15">
        <v>38</v>
      </c>
      <c r="AB15">
        <v>42</v>
      </c>
    </row>
    <row r="16" spans="1:28" x14ac:dyDescent="0.35">
      <c r="A16" t="s">
        <v>406</v>
      </c>
      <c r="B16" t="s">
        <v>407</v>
      </c>
      <c r="C16">
        <v>34</v>
      </c>
      <c r="D16" t="s">
        <v>24</v>
      </c>
      <c r="E16" t="s">
        <v>25</v>
      </c>
      <c r="F16" t="s">
        <v>209</v>
      </c>
      <c r="G16" s="1">
        <v>46075</v>
      </c>
      <c r="I16" s="9">
        <f ca="1">DATEDIF(G16,IF(H16="",TODAY(),H16),"Y")+DATEDIF(G16,IF(H16="",TODAY(),H16),"Ym")/12</f>
        <v>0.5</v>
      </c>
      <c r="J16" s="7" cm="1">
        <f t="array" aca="1" ref="J16" ca="1">IF(ISNUMBER(I16), I16, DAY (I16) + HOUR (I16)/24)</f>
        <v>0.5</v>
      </c>
      <c r="K16" t="str">
        <f ca="1">IF(I16&lt;1,"0-1 yr", IF(I16&lt;3,"0-3 Yrs", IF(I16&lt;5, "3-5 yrs","5+Yrs")))</f>
        <v>0-1 yr</v>
      </c>
      <c r="L16" t="str">
        <f ca="1">IF(M16&lt;&gt;"Left","",IF(Z16&gt;20,"Work-Life Balance",IF(OR(X16&lt;=2,Y16&lt;=2),"Work Culture",IF(Q16&lt;AVERAGEIFS($Q$2:$Q$201,$E$2:$E$201,E16),"Better Salary",IF(IFERROR(DATEDIF(V16,IF(H16="",TODAY(),H16),"y"),0)&gt;=3,"Career Growth","Better Opportunity")))))</f>
        <v/>
      </c>
      <c r="M16" t="s">
        <v>27</v>
      </c>
      <c r="N16" t="s">
        <v>28</v>
      </c>
      <c r="O16">
        <f t="shared" si="0"/>
        <v>5.0038400000000003</v>
      </c>
      <c r="P16" t="str">
        <f t="shared" si="1"/>
        <v>3L-6L</v>
      </c>
      <c r="Q16">
        <v>500384</v>
      </c>
      <c r="R16">
        <v>3</v>
      </c>
      <c r="S16" t="s">
        <v>29</v>
      </c>
      <c r="T16" t="s">
        <v>30</v>
      </c>
      <c r="U16" t="s">
        <v>122</v>
      </c>
      <c r="W16">
        <v>2.52</v>
      </c>
      <c r="X16">
        <v>1</v>
      </c>
      <c r="Y16">
        <v>3</v>
      </c>
      <c r="Z16">
        <v>1</v>
      </c>
      <c r="AA16">
        <v>5</v>
      </c>
      <c r="AB16">
        <v>22</v>
      </c>
    </row>
    <row r="17" spans="1:28" x14ac:dyDescent="0.35">
      <c r="A17" t="s">
        <v>306</v>
      </c>
      <c r="B17" t="s">
        <v>307</v>
      </c>
      <c r="C17">
        <v>22</v>
      </c>
      <c r="D17" t="s">
        <v>24</v>
      </c>
      <c r="E17" t="s">
        <v>25</v>
      </c>
      <c r="F17" t="s">
        <v>209</v>
      </c>
      <c r="G17" s="1">
        <v>44533</v>
      </c>
      <c r="H17" s="1">
        <v>45322</v>
      </c>
      <c r="I17" s="9">
        <f ca="1">DATEDIF(G17,IF(H17="",TODAY(),H17),"Y")+DATEDIF(G17,IF(H17="",TODAY(),H17),"Ym")/12</f>
        <v>2.0833333333333335</v>
      </c>
      <c r="J17" s="7" cm="1">
        <f t="array" aca="1" ref="J17" ca="1">IF(ISNUMBER(I17), I17, DAY (I17) + HOUR (I17)/24)</f>
        <v>2.0833333333333335</v>
      </c>
      <c r="K17" s="1" t="str">
        <f ca="1">IF(I17&lt;1,"0-1 yr", IF(I17&lt;3,"0-3 Yrs", IF(I17&lt;5, "3-5 yrs","5+Yrs")))</f>
        <v>0-3 Yrs</v>
      </c>
      <c r="L17" t="str">
        <f ca="1">IF(M17&lt;&gt;"Left","",IF(Z17&gt;20,"Work-Life Balance",IF(OR(X17&lt;=2,Y17&lt;=2),"Work Culture",IF(Q17&lt;AVERAGEIFS($Q$2:$Q$201,$E$2:$E$201,E17),"Better Salary",IF(IFERROR(DATEDIF(V17,IF(H17="",TODAY(),H17),"y"),0)&gt;=3,"Career Growth","Better Opportunity")))))</f>
        <v>Work-Life Balance</v>
      </c>
      <c r="M17" t="s">
        <v>69</v>
      </c>
      <c r="N17" t="s">
        <v>70</v>
      </c>
      <c r="O17">
        <f t="shared" si="0"/>
        <v>5.0248699999999999</v>
      </c>
      <c r="P17" t="str">
        <f t="shared" si="1"/>
        <v>3L-6L</v>
      </c>
      <c r="Q17">
        <v>502487</v>
      </c>
      <c r="R17">
        <v>5</v>
      </c>
      <c r="S17" t="s">
        <v>36</v>
      </c>
      <c r="T17" t="s">
        <v>30</v>
      </c>
      <c r="U17" t="s">
        <v>38</v>
      </c>
      <c r="V17" s="1">
        <v>46209</v>
      </c>
      <c r="W17">
        <v>2.16</v>
      </c>
      <c r="X17">
        <v>2</v>
      </c>
      <c r="Y17">
        <v>3</v>
      </c>
      <c r="Z17">
        <v>22</v>
      </c>
      <c r="AA17">
        <v>7</v>
      </c>
      <c r="AB17">
        <v>33</v>
      </c>
    </row>
    <row r="18" spans="1:28" x14ac:dyDescent="0.35">
      <c r="A18" t="s">
        <v>22</v>
      </c>
      <c r="B18" t="s">
        <v>23</v>
      </c>
      <c r="C18">
        <v>23</v>
      </c>
      <c r="D18" t="s">
        <v>24</v>
      </c>
      <c r="E18" t="s">
        <v>25</v>
      </c>
      <c r="F18" t="s">
        <v>26</v>
      </c>
      <c r="G18" s="1">
        <v>42011</v>
      </c>
      <c r="I18" s="9">
        <f ca="1">DATEDIF(G18,IF(H18="",TODAY(),H18),"Y")+DATEDIF(G18,IF(H18="",TODAY(),H18),"Ym")/12</f>
        <v>11.583333333333334</v>
      </c>
      <c r="J18" s="7" cm="1">
        <f t="array" aca="1" ref="J18" ca="1">IF(ISNUMBER(I18), I18, DAY (I18) + HOUR (I18)/24)</f>
        <v>11.583333333333334</v>
      </c>
      <c r="K18" t="str">
        <f ca="1">IF(I18&lt;1,"0-1 yr", IF(I18&lt;3,"0-3 Yrs", IF(I18&lt;5, "3-5 yrs","5+Yrs")))</f>
        <v>5+Yrs</v>
      </c>
      <c r="L18" t="str">
        <f ca="1">IF(M18&lt;&gt;"Left","",IF(Z18&gt;20,"Work-Life Balance",IF(OR(X18&lt;=2,Y18&lt;=2),"Work Culture",IF(Q18&lt;AVERAGEIFS($Q$2:$Q$201,$E$2:$E$201,E18),"Better Salary",IF(IFERROR(DATEDIF(V18,IF(H18="",TODAY(),H18),"y"),0)&gt;=3,"Career Growth","Better Opportunity")))))</f>
        <v/>
      </c>
      <c r="M18" t="s">
        <v>27</v>
      </c>
      <c r="N18" t="s">
        <v>28</v>
      </c>
      <c r="O18">
        <f t="shared" si="0"/>
        <v>5.0512300000000003</v>
      </c>
      <c r="P18" t="str">
        <f t="shared" si="1"/>
        <v>3L-6L</v>
      </c>
      <c r="Q18">
        <v>505123</v>
      </c>
      <c r="R18">
        <v>4</v>
      </c>
      <c r="S18" t="s">
        <v>29</v>
      </c>
      <c r="T18" t="s">
        <v>30</v>
      </c>
      <c r="U18" t="s">
        <v>31</v>
      </c>
      <c r="V18" s="1">
        <v>46162</v>
      </c>
      <c r="W18">
        <v>11.64</v>
      </c>
      <c r="X18">
        <v>1</v>
      </c>
      <c r="Y18">
        <v>3</v>
      </c>
      <c r="Z18">
        <v>23</v>
      </c>
      <c r="AA18">
        <v>63</v>
      </c>
      <c r="AB18">
        <v>3</v>
      </c>
    </row>
    <row r="19" spans="1:28" x14ac:dyDescent="0.35">
      <c r="A19" t="s">
        <v>255</v>
      </c>
      <c r="B19" t="s">
        <v>256</v>
      </c>
      <c r="C19">
        <v>30</v>
      </c>
      <c r="D19" t="s">
        <v>41</v>
      </c>
      <c r="E19" t="s">
        <v>56</v>
      </c>
      <c r="F19" t="s">
        <v>93</v>
      </c>
      <c r="G19" s="1">
        <v>43874</v>
      </c>
      <c r="H19" s="1">
        <v>45005</v>
      </c>
      <c r="I19" s="9">
        <f ca="1">DATEDIF(G19,IF(H19="",TODAY(),H19),"Y")+DATEDIF(G19,IF(H19="",TODAY(),H19),"Ym")/12</f>
        <v>3.0833333333333335</v>
      </c>
      <c r="J19" s="7" cm="1">
        <f t="array" aca="1" ref="J19" ca="1">IF(ISNUMBER(I19), I19, DAY (I19) + HOUR (I19)/24)</f>
        <v>3.0833333333333335</v>
      </c>
      <c r="K19" s="1" t="str">
        <f ca="1">IF(I19&lt;1,"0-1 yr", IF(I19&lt;3,"0-3 Yrs", IF(I19&lt;5, "3-5 yrs","5+Yrs")))</f>
        <v>3-5 yrs</v>
      </c>
      <c r="L19" t="str">
        <f ca="1">IF(M19&lt;&gt;"Left","",IF(Z19&gt;20,"Work-Life Balance",IF(OR(X19&lt;=2,Y19&lt;=2),"Work Culture",IF(Q19&lt;AVERAGEIFS($Q$2:$Q$201,$E$2:$E$201,E19),"Better Salary",IF(IFERROR(DATEDIF(V19,IF(H19="",TODAY(),H19),"y"),0)&gt;=3,"Career Growth","Better Opportunity")))))</f>
        <v>Better Salary</v>
      </c>
      <c r="M19" t="s">
        <v>69</v>
      </c>
      <c r="N19" t="s">
        <v>70</v>
      </c>
      <c r="O19">
        <f t="shared" si="0"/>
        <v>5.0731299999999999</v>
      </c>
      <c r="P19" t="str">
        <f t="shared" si="1"/>
        <v>3L-6L</v>
      </c>
      <c r="Q19">
        <v>507313</v>
      </c>
      <c r="R19">
        <v>4</v>
      </c>
      <c r="S19" t="s">
        <v>98</v>
      </c>
      <c r="T19" t="s">
        <v>43</v>
      </c>
      <c r="U19" t="s">
        <v>44</v>
      </c>
      <c r="W19">
        <v>3.1</v>
      </c>
      <c r="X19">
        <v>4</v>
      </c>
      <c r="Y19">
        <v>5</v>
      </c>
      <c r="Z19">
        <v>2</v>
      </c>
      <c r="AA19">
        <v>24</v>
      </c>
      <c r="AB19">
        <v>37</v>
      </c>
    </row>
    <row r="20" spans="1:28" x14ac:dyDescent="0.35">
      <c r="A20" t="s">
        <v>250</v>
      </c>
      <c r="B20" t="s">
        <v>95</v>
      </c>
      <c r="C20">
        <v>25</v>
      </c>
      <c r="D20" t="s">
        <v>24</v>
      </c>
      <c r="E20" t="s">
        <v>25</v>
      </c>
      <c r="F20" t="s">
        <v>234</v>
      </c>
      <c r="G20" s="1">
        <v>43834</v>
      </c>
      <c r="I20" s="9">
        <f ca="1">DATEDIF(G20,IF(H20="",TODAY(),H20),"Y")+DATEDIF(G20,IF(H20="",TODAY(),H20),"Ym")/12</f>
        <v>6.583333333333333</v>
      </c>
      <c r="J20" s="7" cm="1">
        <f t="array" aca="1" ref="J20" ca="1">IF(ISNUMBER(I20), I20, DAY (I20) + HOUR (I20)/24)</f>
        <v>6.583333333333333</v>
      </c>
      <c r="K20" t="str">
        <f ca="1">IF(I20&lt;1,"0-1 yr", IF(I20&lt;3,"0-3 Yrs", IF(I20&lt;5, "3-5 yrs","5+Yrs")))</f>
        <v>5+Yrs</v>
      </c>
      <c r="L20" t="str">
        <f ca="1">IF(M20&lt;&gt;"Left","",IF(Z20&gt;20,"Work-Life Balance",IF(OR(X20&lt;=2,Y20&lt;=2),"Work Culture",IF(Q20&lt;AVERAGEIFS($Q$2:$Q$201,$E$2:$E$201,E20),"Better Salary",IF(IFERROR(DATEDIF(V20,IF(H20="",TODAY(),H20),"y"),0)&gt;=3,"Career Growth","Better Opportunity")))))</f>
        <v/>
      </c>
      <c r="M20" t="s">
        <v>27</v>
      </c>
      <c r="N20" t="s">
        <v>28</v>
      </c>
      <c r="O20">
        <f t="shared" si="0"/>
        <v>5.1151999999999997</v>
      </c>
      <c r="P20" t="str">
        <f t="shared" si="1"/>
        <v>3L-6L</v>
      </c>
      <c r="Q20">
        <v>511520</v>
      </c>
      <c r="R20">
        <v>3</v>
      </c>
      <c r="S20" t="s">
        <v>52</v>
      </c>
      <c r="T20" t="s">
        <v>30</v>
      </c>
      <c r="U20" t="s">
        <v>53</v>
      </c>
      <c r="V20" s="1">
        <v>45679</v>
      </c>
      <c r="W20">
        <v>6.65</v>
      </c>
      <c r="X20">
        <v>2</v>
      </c>
      <c r="Y20">
        <v>5</v>
      </c>
      <c r="Z20">
        <v>12</v>
      </c>
      <c r="AA20">
        <v>51</v>
      </c>
      <c r="AB20">
        <v>36</v>
      </c>
    </row>
    <row r="21" spans="1:28" x14ac:dyDescent="0.35">
      <c r="A21" t="s">
        <v>248</v>
      </c>
      <c r="B21" t="s">
        <v>249</v>
      </c>
      <c r="C21">
        <v>42</v>
      </c>
      <c r="D21" t="s">
        <v>41</v>
      </c>
      <c r="E21" t="s">
        <v>25</v>
      </c>
      <c r="F21" t="s">
        <v>234</v>
      </c>
      <c r="G21" s="1">
        <v>43808</v>
      </c>
      <c r="I21" s="9">
        <f ca="1">DATEDIF(G21,IF(H21="",TODAY(),H21),"Y")+DATEDIF(G21,IF(H21="",TODAY(),H21),"Ym")/12</f>
        <v>6.666666666666667</v>
      </c>
      <c r="J21" s="7" cm="1">
        <f t="array" aca="1" ref="J21" ca="1">IF(ISNUMBER(I21), I21, DAY (I21) + HOUR (I21)/24)</f>
        <v>6.666666666666667</v>
      </c>
      <c r="K21" t="str">
        <f ca="1">IF(I21&lt;1,"0-1 yr", IF(I21&lt;3,"0-3 Yrs", IF(I21&lt;5, "3-5 yrs","5+Yrs")))</f>
        <v>5+Yrs</v>
      </c>
      <c r="L21" t="str">
        <f ca="1">IF(M21&lt;&gt;"Left","",IF(Z21&gt;20,"Work-Life Balance",IF(OR(X21&lt;=2,Y21&lt;=2),"Work Culture",IF(Q21&lt;AVERAGEIFS($Q$2:$Q$201,$E$2:$E$201,E21),"Better Salary",IF(IFERROR(DATEDIF(V21,IF(H21="",TODAY(),H21),"y"),0)&gt;=3,"Career Growth","Better Opportunity")))))</f>
        <v/>
      </c>
      <c r="M21" t="s">
        <v>27</v>
      </c>
      <c r="N21" t="s">
        <v>28</v>
      </c>
      <c r="O21">
        <f t="shared" si="0"/>
        <v>5.1169399999999996</v>
      </c>
      <c r="P21" t="str">
        <f t="shared" si="1"/>
        <v>3L-6L</v>
      </c>
      <c r="Q21">
        <v>511694</v>
      </c>
      <c r="R21">
        <v>4</v>
      </c>
      <c r="S21" t="s">
        <v>36</v>
      </c>
      <c r="T21" t="s">
        <v>30</v>
      </c>
      <c r="U21" t="s">
        <v>122</v>
      </c>
      <c r="W21">
        <v>6.72</v>
      </c>
      <c r="X21">
        <v>5</v>
      </c>
      <c r="Y21">
        <v>2</v>
      </c>
      <c r="Z21">
        <v>8</v>
      </c>
      <c r="AA21">
        <v>57</v>
      </c>
      <c r="AB21">
        <v>10</v>
      </c>
    </row>
    <row r="22" spans="1:28" x14ac:dyDescent="0.35">
      <c r="A22" t="s">
        <v>367</v>
      </c>
      <c r="B22" t="s">
        <v>368</v>
      </c>
      <c r="C22">
        <v>40</v>
      </c>
      <c r="D22" t="s">
        <v>41</v>
      </c>
      <c r="E22" t="s">
        <v>34</v>
      </c>
      <c r="F22" t="s">
        <v>47</v>
      </c>
      <c r="G22" s="1">
        <v>45084</v>
      </c>
      <c r="I22" s="9">
        <f ca="1">DATEDIF(G22,IF(H22="",TODAY(),H22),"Y")+DATEDIF(G22,IF(H22="",TODAY(),H22),"Ym")/12</f>
        <v>3.1666666666666665</v>
      </c>
      <c r="J22" s="7" cm="1">
        <f t="array" aca="1" ref="J22" ca="1">IF(ISNUMBER(I22), I22, DAY (I22) + HOUR (I22)/24)</f>
        <v>3.1666666666666665</v>
      </c>
      <c r="K22" t="str">
        <f ca="1">IF(I22&lt;1,"0-1 yr", IF(I22&lt;3,"0-3 Yrs", IF(I22&lt;5, "3-5 yrs","5+Yrs")))</f>
        <v>3-5 yrs</v>
      </c>
      <c r="L22" t="str">
        <f ca="1">IF(M22&lt;&gt;"Left","",IF(Z22&gt;20,"Work-Life Balance",IF(OR(X22&lt;=2,Y22&lt;=2),"Work Culture",IF(Q22&lt;AVERAGEIFS($Q$2:$Q$201,$E$2:$E$201,E22),"Better Salary",IF(IFERROR(DATEDIF(V22,IF(H22="",TODAY(),H22),"y"),0)&gt;=3,"Career Growth","Better Opportunity")))))</f>
        <v/>
      </c>
      <c r="M22" t="s">
        <v>27</v>
      </c>
      <c r="N22" t="s">
        <v>28</v>
      </c>
      <c r="O22">
        <f t="shared" si="0"/>
        <v>5.1962299999999999</v>
      </c>
      <c r="P22" t="str">
        <f t="shared" si="1"/>
        <v>3L-6L</v>
      </c>
      <c r="Q22">
        <v>519623</v>
      </c>
      <c r="R22">
        <v>4</v>
      </c>
      <c r="S22" t="s">
        <v>52</v>
      </c>
      <c r="T22" t="s">
        <v>43</v>
      </c>
      <c r="U22" t="s">
        <v>84</v>
      </c>
      <c r="W22">
        <v>3.23</v>
      </c>
      <c r="X22">
        <v>4</v>
      </c>
      <c r="Y22">
        <v>1</v>
      </c>
      <c r="Z22">
        <v>18</v>
      </c>
      <c r="AA22">
        <v>24</v>
      </c>
      <c r="AB22">
        <v>33</v>
      </c>
    </row>
    <row r="23" spans="1:28" x14ac:dyDescent="0.35">
      <c r="A23" t="s">
        <v>333</v>
      </c>
      <c r="B23" t="s">
        <v>334</v>
      </c>
      <c r="C23">
        <v>49</v>
      </c>
      <c r="D23" t="s">
        <v>24</v>
      </c>
      <c r="E23" t="s">
        <v>25</v>
      </c>
      <c r="F23" t="s">
        <v>209</v>
      </c>
      <c r="G23" s="1">
        <v>44750</v>
      </c>
      <c r="I23" s="9">
        <f ca="1">DATEDIF(G23,IF(H23="",TODAY(),H23),"Y")+DATEDIF(G23,IF(H23="",TODAY(),H23),"Ym")/12</f>
        <v>4.083333333333333</v>
      </c>
      <c r="J23" s="7" cm="1">
        <f t="array" aca="1" ref="J23" ca="1">IF(ISNUMBER(I23), I23, DAY (I23) + HOUR (I23)/24)</f>
        <v>4.083333333333333</v>
      </c>
      <c r="K23" t="str">
        <f ca="1">IF(I23&lt;1,"0-1 yr", IF(I23&lt;3,"0-3 Yrs", IF(I23&lt;5, "3-5 yrs","5+Yrs")))</f>
        <v>3-5 yrs</v>
      </c>
      <c r="L23" t="str">
        <f ca="1">IF(M23&lt;&gt;"Left","",IF(Z23&gt;20,"Work-Life Balance",IF(OR(X23&lt;=2,Y23&lt;=2),"Work Culture",IF(Q23&lt;AVERAGEIFS($Q$2:$Q$201,$E$2:$E$201,E23),"Better Salary",IF(IFERROR(DATEDIF(V23,IF(H23="",TODAY(),H23),"y"),0)&gt;=3,"Career Growth","Better Opportunity")))))</f>
        <v/>
      </c>
      <c r="M23" t="s">
        <v>27</v>
      </c>
      <c r="N23" t="s">
        <v>28</v>
      </c>
      <c r="O23">
        <f t="shared" si="0"/>
        <v>5.2024699999999999</v>
      </c>
      <c r="P23" t="str">
        <f t="shared" si="1"/>
        <v>3L-6L</v>
      </c>
      <c r="Q23">
        <v>520247</v>
      </c>
      <c r="R23">
        <v>5</v>
      </c>
      <c r="S23" t="s">
        <v>29</v>
      </c>
      <c r="T23" t="s">
        <v>43</v>
      </c>
      <c r="U23" t="s">
        <v>87</v>
      </c>
      <c r="V23" s="1">
        <v>45400</v>
      </c>
      <c r="W23">
        <v>4.1500000000000004</v>
      </c>
      <c r="X23">
        <v>4</v>
      </c>
      <c r="Y23">
        <v>3</v>
      </c>
      <c r="Z23">
        <v>15</v>
      </c>
      <c r="AA23">
        <v>19</v>
      </c>
      <c r="AB23">
        <v>4</v>
      </c>
    </row>
    <row r="24" spans="1:28" x14ac:dyDescent="0.35">
      <c r="A24" t="s">
        <v>113</v>
      </c>
      <c r="B24" t="s">
        <v>114</v>
      </c>
      <c r="C24">
        <v>43</v>
      </c>
      <c r="D24" t="s">
        <v>24</v>
      </c>
      <c r="E24" t="s">
        <v>25</v>
      </c>
      <c r="F24" t="s">
        <v>26</v>
      </c>
      <c r="G24" s="1">
        <v>42433</v>
      </c>
      <c r="I24" s="9">
        <f ca="1">DATEDIF(G24,IF(H24="",TODAY(),H24),"Y")+DATEDIF(G24,IF(H24="",TODAY(),H24),"Ym")/12</f>
        <v>10.416666666666666</v>
      </c>
      <c r="J24" s="7" cm="1">
        <f t="array" aca="1" ref="J24" ca="1">IF(ISNUMBER(I24), I24, DAY (I24) + HOUR (I24)/24)</f>
        <v>10.416666666666666</v>
      </c>
      <c r="K24" t="str">
        <f ca="1">IF(I24&lt;1,"0-1 yr", IF(I24&lt;3,"0-3 Yrs", IF(I24&lt;5, "3-5 yrs","5+Yrs")))</f>
        <v>5+Yrs</v>
      </c>
      <c r="L24" t="str">
        <f ca="1">IF(M24&lt;&gt;"Left","",IF(Z24&gt;20,"Work-Life Balance",IF(OR(X24&lt;=2,Y24&lt;=2),"Work Culture",IF(Q24&lt;AVERAGEIFS($Q$2:$Q$201,$E$2:$E$201,E24),"Better Salary",IF(IFERROR(DATEDIF(V24,IF(H24="",TODAY(),H24),"y"),0)&gt;=3,"Career Growth","Better Opportunity")))))</f>
        <v/>
      </c>
      <c r="M24" t="s">
        <v>27</v>
      </c>
      <c r="N24" t="s">
        <v>28</v>
      </c>
      <c r="O24">
        <f t="shared" si="0"/>
        <v>5.2045300000000001</v>
      </c>
      <c r="P24" t="str">
        <f t="shared" si="1"/>
        <v>3L-6L</v>
      </c>
      <c r="Q24">
        <v>520453</v>
      </c>
      <c r="R24">
        <v>5</v>
      </c>
      <c r="S24" t="s">
        <v>36</v>
      </c>
      <c r="T24" t="s">
        <v>30</v>
      </c>
      <c r="U24" t="s">
        <v>84</v>
      </c>
      <c r="V24" s="1">
        <v>46138</v>
      </c>
      <c r="W24">
        <v>10.49</v>
      </c>
      <c r="X24">
        <v>3</v>
      </c>
      <c r="Y24">
        <v>4</v>
      </c>
      <c r="Z24">
        <v>7</v>
      </c>
      <c r="AA24">
        <v>53</v>
      </c>
      <c r="AB24">
        <v>8</v>
      </c>
    </row>
    <row r="25" spans="1:28" x14ac:dyDescent="0.35">
      <c r="A25" t="s">
        <v>415</v>
      </c>
      <c r="B25" t="s">
        <v>416</v>
      </c>
      <c r="C25">
        <v>33</v>
      </c>
      <c r="D25" t="s">
        <v>41</v>
      </c>
      <c r="E25" t="s">
        <v>25</v>
      </c>
      <c r="F25" t="s">
        <v>209</v>
      </c>
      <c r="G25" s="1">
        <v>45404</v>
      </c>
      <c r="I25" s="9">
        <f ca="1">DATEDIF(G25,IF(H25="",TODAY(),H25),"Y")+DATEDIF(G25,IF(H25="",TODAY(),H25),"Ym")/12</f>
        <v>2.3333333333333335</v>
      </c>
      <c r="J25" s="7" cm="1">
        <f t="array" aca="1" ref="J25" ca="1">IF(ISNUMBER(I25), I25, DAY (I25) + HOUR (I25)/24)</f>
        <v>2.3333333333333335</v>
      </c>
      <c r="K25" t="str">
        <f ca="1">IF(I25&lt;1,"0-1 yr", IF(I25&lt;3,"0-3 Yrs", IF(I25&lt;5, "3-5 yrs","5+Yrs")))</f>
        <v>0-3 Yrs</v>
      </c>
      <c r="L25" t="str">
        <f ca="1">IF(M25&lt;&gt;"Left","",IF(Z25&gt;20,"Work-Life Balance",IF(OR(X25&lt;=2,Y25&lt;=2),"Work Culture",IF(Q25&lt;AVERAGEIFS($Q$2:$Q$201,$E$2:$E$201,E25),"Better Salary",IF(IFERROR(DATEDIF(V25,IF(H25="",TODAY(),H25),"y"),0)&gt;=3,"Career Growth","Better Opportunity")))))</f>
        <v/>
      </c>
      <c r="M25" t="s">
        <v>27</v>
      </c>
      <c r="N25" t="s">
        <v>28</v>
      </c>
      <c r="O25">
        <f t="shared" si="0"/>
        <v>5.2141900000000003</v>
      </c>
      <c r="P25" t="str">
        <f t="shared" si="1"/>
        <v>3L-6L</v>
      </c>
      <c r="Q25">
        <v>521419</v>
      </c>
      <c r="R25">
        <v>3</v>
      </c>
      <c r="S25" t="s">
        <v>52</v>
      </c>
      <c r="T25" t="s">
        <v>30</v>
      </c>
      <c r="U25" t="s">
        <v>53</v>
      </c>
      <c r="V25" s="1">
        <v>45754</v>
      </c>
      <c r="W25">
        <v>2.35</v>
      </c>
      <c r="X25">
        <v>5</v>
      </c>
      <c r="Y25">
        <v>3</v>
      </c>
      <c r="Z25">
        <v>15</v>
      </c>
      <c r="AA25">
        <v>43</v>
      </c>
      <c r="AB25">
        <v>37</v>
      </c>
    </row>
    <row r="26" spans="1:28" x14ac:dyDescent="0.35">
      <c r="A26" t="s">
        <v>285</v>
      </c>
      <c r="B26" t="s">
        <v>286</v>
      </c>
      <c r="C26">
        <v>22</v>
      </c>
      <c r="D26" t="s">
        <v>24</v>
      </c>
      <c r="E26" t="s">
        <v>56</v>
      </c>
      <c r="F26" t="s">
        <v>57</v>
      </c>
      <c r="G26" s="1">
        <v>44350</v>
      </c>
      <c r="I26" s="9">
        <f ca="1">DATEDIF(G26,IF(H26="",TODAY(),H26),"Y")+DATEDIF(G26,IF(H26="",TODAY(),H26),"Ym")/12</f>
        <v>5.25</v>
      </c>
      <c r="J26" s="7" cm="1">
        <f t="array" aca="1" ref="J26" ca="1">IF(ISNUMBER(I26), I26, DAY (I26) + HOUR (I26)/24)</f>
        <v>5.25</v>
      </c>
      <c r="K26" t="str">
        <f ca="1">IF(I26&lt;1,"0-1 yr", IF(I26&lt;3,"0-3 Yrs", IF(I26&lt;5, "3-5 yrs","5+Yrs")))</f>
        <v>5+Yrs</v>
      </c>
      <c r="L26" t="str">
        <f ca="1">IF(M26&lt;&gt;"Left","",IF(Z26&gt;20,"Work-Life Balance",IF(OR(X26&lt;=2,Y26&lt;=2),"Work Culture",IF(Q26&lt;AVERAGEIFS($Q$2:$Q$201,$E$2:$E$201,E26),"Better Salary",IF(IFERROR(DATEDIF(V26,IF(H26="",TODAY(),H26),"y"),0)&gt;=3,"Career Growth","Better Opportunity")))))</f>
        <v/>
      </c>
      <c r="M26" t="s">
        <v>27</v>
      </c>
      <c r="N26" t="s">
        <v>28</v>
      </c>
      <c r="O26">
        <f t="shared" si="0"/>
        <v>5.3301400000000001</v>
      </c>
      <c r="P26" t="str">
        <f t="shared" si="1"/>
        <v>3L-6L</v>
      </c>
      <c r="Q26">
        <v>533014</v>
      </c>
      <c r="R26">
        <v>3</v>
      </c>
      <c r="S26" t="s">
        <v>52</v>
      </c>
      <c r="T26" t="s">
        <v>30</v>
      </c>
      <c r="U26" t="s">
        <v>53</v>
      </c>
      <c r="W26">
        <v>5.24</v>
      </c>
      <c r="X26">
        <v>5</v>
      </c>
      <c r="Y26">
        <v>4</v>
      </c>
      <c r="Z26">
        <v>5</v>
      </c>
      <c r="AA26">
        <v>41</v>
      </c>
      <c r="AB26">
        <v>12</v>
      </c>
    </row>
    <row r="27" spans="1:28" x14ac:dyDescent="0.35">
      <c r="A27" t="s">
        <v>435</v>
      </c>
      <c r="B27" t="s">
        <v>334</v>
      </c>
      <c r="C27">
        <v>24</v>
      </c>
      <c r="D27" t="s">
        <v>41</v>
      </c>
      <c r="E27" t="s">
        <v>25</v>
      </c>
      <c r="F27" t="s">
        <v>209</v>
      </c>
      <c r="G27" s="1">
        <v>45610</v>
      </c>
      <c r="I27" s="9">
        <f ca="1">DATEDIF(G27,IF(H27="",TODAY(),H27),"Y")+DATEDIF(G27,IF(H27="",TODAY(),H27),"Ym")/12</f>
        <v>1.75</v>
      </c>
      <c r="J27" s="7" cm="1">
        <f t="array" aca="1" ref="J27" ca="1">IF(ISNUMBER(I27), I27, DAY (I27) + HOUR (I27)/24)</f>
        <v>1.75</v>
      </c>
      <c r="K27" t="str">
        <f ca="1">IF(I27&lt;1,"0-1 yr", IF(I27&lt;3,"0-3 Yrs", IF(I27&lt;5, "3-5 yrs","5+Yrs")))</f>
        <v>0-3 Yrs</v>
      </c>
      <c r="L27" t="str">
        <f ca="1">IF(M27&lt;&gt;"Left","",IF(Z27&gt;20,"Work-Life Balance",IF(OR(X27&lt;=2,Y27&lt;=2),"Work Culture",IF(Q27&lt;AVERAGEIFS($Q$2:$Q$201,$E$2:$E$201,E27),"Better Salary",IF(IFERROR(DATEDIF(V27,IF(H27="",TODAY(),H27),"y"),0)&gt;=3,"Career Growth","Better Opportunity")))))</f>
        <v/>
      </c>
      <c r="M27" t="s">
        <v>27</v>
      </c>
      <c r="N27" t="s">
        <v>28</v>
      </c>
      <c r="O27">
        <f t="shared" si="0"/>
        <v>5.4141599999999999</v>
      </c>
      <c r="P27" t="str">
        <f t="shared" si="1"/>
        <v>3L-6L</v>
      </c>
      <c r="Q27">
        <v>541416</v>
      </c>
      <c r="R27">
        <v>4</v>
      </c>
      <c r="S27" t="s">
        <v>29</v>
      </c>
      <c r="T27" t="s">
        <v>30</v>
      </c>
      <c r="U27" t="s">
        <v>53</v>
      </c>
      <c r="V27" s="1">
        <v>46174</v>
      </c>
      <c r="W27">
        <v>1.79</v>
      </c>
      <c r="X27">
        <v>4</v>
      </c>
      <c r="Y27">
        <v>4</v>
      </c>
      <c r="Z27">
        <v>0</v>
      </c>
      <c r="AA27">
        <v>52</v>
      </c>
      <c r="AB27">
        <v>13</v>
      </c>
    </row>
    <row r="28" spans="1:28" x14ac:dyDescent="0.35">
      <c r="A28" t="s">
        <v>438</v>
      </c>
      <c r="B28" t="s">
        <v>439</v>
      </c>
      <c r="C28">
        <v>28</v>
      </c>
      <c r="D28" t="s">
        <v>41</v>
      </c>
      <c r="E28" t="s">
        <v>25</v>
      </c>
      <c r="F28" t="s">
        <v>209</v>
      </c>
      <c r="G28" s="1">
        <v>45662</v>
      </c>
      <c r="I28" s="9">
        <f ca="1">DATEDIF(G28,IF(H28="",TODAY(),H28),"Y")+DATEDIF(G28,IF(H28="",TODAY(),H28),"Ym")/12</f>
        <v>1.5833333333333335</v>
      </c>
      <c r="J28" s="7" cm="1">
        <f t="array" aca="1" ref="J28" ca="1">IF(ISNUMBER(I28), I28, DAY (I28) + HOUR (I28)/24)</f>
        <v>1.5833333333333335</v>
      </c>
      <c r="K28" t="str">
        <f ca="1">IF(I28&lt;1,"0-1 yr", IF(I28&lt;3,"0-3 Yrs", IF(I28&lt;5, "3-5 yrs","5+Yrs")))</f>
        <v>0-3 Yrs</v>
      </c>
      <c r="L28" t="str">
        <f ca="1">IF(M28&lt;&gt;"Left","",IF(Z28&gt;20,"Work-Life Balance",IF(OR(X28&lt;=2,Y28&lt;=2),"Work Culture",IF(Q28&lt;AVERAGEIFS($Q$2:$Q$201,$E$2:$E$201,E28),"Better Salary",IF(IFERROR(DATEDIF(V28,IF(H28="",TODAY(),H28),"y"),0)&gt;=3,"Career Growth","Better Opportunity")))))</f>
        <v/>
      </c>
      <c r="M28" t="s">
        <v>27</v>
      </c>
      <c r="N28" t="s">
        <v>28</v>
      </c>
      <c r="O28">
        <f t="shared" si="0"/>
        <v>5.4876300000000002</v>
      </c>
      <c r="P28" t="str">
        <f t="shared" si="1"/>
        <v>3L-6L</v>
      </c>
      <c r="Q28">
        <v>548763</v>
      </c>
      <c r="R28">
        <v>2</v>
      </c>
      <c r="S28" t="s">
        <v>29</v>
      </c>
      <c r="T28" t="s">
        <v>30</v>
      </c>
      <c r="U28" t="s">
        <v>31</v>
      </c>
      <c r="V28" s="1">
        <v>46040</v>
      </c>
      <c r="W28">
        <v>1.65</v>
      </c>
      <c r="X28">
        <v>4</v>
      </c>
      <c r="Y28">
        <v>3</v>
      </c>
      <c r="Z28">
        <v>8</v>
      </c>
      <c r="AA28">
        <v>37</v>
      </c>
      <c r="AB28">
        <v>41</v>
      </c>
    </row>
    <row r="29" spans="1:28" x14ac:dyDescent="0.35">
      <c r="A29" t="s">
        <v>177</v>
      </c>
      <c r="B29" t="s">
        <v>178</v>
      </c>
      <c r="C29">
        <v>54</v>
      </c>
      <c r="D29" t="s">
        <v>41</v>
      </c>
      <c r="E29" t="s">
        <v>25</v>
      </c>
      <c r="F29" t="s">
        <v>26</v>
      </c>
      <c r="G29" s="1">
        <v>43227</v>
      </c>
      <c r="I29" s="9">
        <f ca="1">DATEDIF(G29,IF(H29="",TODAY(),H29),"Y")+DATEDIF(G29,IF(H29="",TODAY(),H29),"Ym")/12</f>
        <v>8.25</v>
      </c>
      <c r="J29" s="7" cm="1">
        <f t="array" aca="1" ref="J29" ca="1">IF(ISNUMBER(I29), I29, DAY (I29) + HOUR (I29)/24)</f>
        <v>8.25</v>
      </c>
      <c r="K29" t="str">
        <f ca="1">IF(I29&lt;1,"0-1 yr", IF(I29&lt;3,"0-3 Yrs", IF(I29&lt;5, "3-5 yrs","5+Yrs")))</f>
        <v>5+Yrs</v>
      </c>
      <c r="L29" t="str">
        <f ca="1">IF(M29&lt;&gt;"Left","",IF(Z29&gt;20,"Work-Life Balance",IF(OR(X29&lt;=2,Y29&lt;=2),"Work Culture",IF(Q29&lt;AVERAGEIFS($Q$2:$Q$201,$E$2:$E$201,E29),"Better Salary",IF(IFERROR(DATEDIF(V29,IF(H29="",TODAY(),H29),"y"),0)&gt;=3,"Career Growth","Better Opportunity")))))</f>
        <v/>
      </c>
      <c r="M29" t="s">
        <v>27</v>
      </c>
      <c r="N29" t="s">
        <v>28</v>
      </c>
      <c r="O29">
        <f t="shared" si="0"/>
        <v>5.5065299999999997</v>
      </c>
      <c r="P29" t="str">
        <f t="shared" si="1"/>
        <v>3L-6L</v>
      </c>
      <c r="Q29">
        <v>550653</v>
      </c>
      <c r="R29">
        <v>2</v>
      </c>
      <c r="S29" t="s">
        <v>73</v>
      </c>
      <c r="T29" t="s">
        <v>43</v>
      </c>
      <c r="U29" t="s">
        <v>44</v>
      </c>
      <c r="W29">
        <v>8.31</v>
      </c>
      <c r="X29">
        <v>5</v>
      </c>
      <c r="Y29">
        <v>4</v>
      </c>
      <c r="Z29">
        <v>22</v>
      </c>
      <c r="AA29">
        <v>8</v>
      </c>
      <c r="AB29">
        <v>31</v>
      </c>
    </row>
    <row r="30" spans="1:28" x14ac:dyDescent="0.35">
      <c r="A30" t="s">
        <v>345</v>
      </c>
      <c r="B30" t="s">
        <v>346</v>
      </c>
      <c r="C30">
        <v>29</v>
      </c>
      <c r="D30" t="s">
        <v>41</v>
      </c>
      <c r="E30" t="s">
        <v>89</v>
      </c>
      <c r="F30" t="s">
        <v>152</v>
      </c>
      <c r="G30" s="1">
        <v>44883</v>
      </c>
      <c r="I30" s="9">
        <f ca="1">DATEDIF(G30,IF(H30="",TODAY(),H30),"Y")+DATEDIF(G30,IF(H30="",TODAY(),H30),"Ym")/12</f>
        <v>3.75</v>
      </c>
      <c r="J30" s="7" cm="1">
        <f t="array" aca="1" ref="J30" ca="1">IF(ISNUMBER(I30), I30, DAY (I30) + HOUR (I30)/24)</f>
        <v>3.75</v>
      </c>
      <c r="K30" t="str">
        <f ca="1">IF(I30&lt;1,"0-1 yr", IF(I30&lt;3,"0-3 Yrs", IF(I30&lt;5, "3-5 yrs","5+Yrs")))</f>
        <v>3-5 yrs</v>
      </c>
      <c r="L30" t="str">
        <f ca="1">IF(M30&lt;&gt;"Left","",IF(Z30&gt;20,"Work-Life Balance",IF(OR(X30&lt;=2,Y30&lt;=2),"Work Culture",IF(Q30&lt;AVERAGEIFS($Q$2:$Q$201,$E$2:$E$201,E30),"Better Salary",IF(IFERROR(DATEDIF(V30,IF(H30="",TODAY(),H30),"y"),0)&gt;=3,"Career Growth","Better Opportunity")))))</f>
        <v/>
      </c>
      <c r="M30" t="s">
        <v>27</v>
      </c>
      <c r="N30" t="s">
        <v>28</v>
      </c>
      <c r="O30">
        <f t="shared" si="0"/>
        <v>5.5083399999999996</v>
      </c>
      <c r="P30" t="str">
        <f t="shared" si="1"/>
        <v>3L-6L</v>
      </c>
      <c r="Q30">
        <v>550834</v>
      </c>
      <c r="R30">
        <v>3</v>
      </c>
      <c r="S30" t="s">
        <v>98</v>
      </c>
      <c r="T30" t="s">
        <v>30</v>
      </c>
      <c r="U30" t="s">
        <v>44</v>
      </c>
      <c r="V30" s="1">
        <v>45577</v>
      </c>
      <c r="W30">
        <v>3.78</v>
      </c>
      <c r="X30">
        <v>2</v>
      </c>
      <c r="Y30">
        <v>2</v>
      </c>
      <c r="Z30">
        <v>1</v>
      </c>
      <c r="AA30">
        <v>25</v>
      </c>
      <c r="AB30">
        <v>31</v>
      </c>
    </row>
    <row r="31" spans="1:28" x14ac:dyDescent="0.35">
      <c r="A31" t="s">
        <v>355</v>
      </c>
      <c r="B31" t="s">
        <v>356</v>
      </c>
      <c r="C31">
        <v>55</v>
      </c>
      <c r="D31" t="s">
        <v>24</v>
      </c>
      <c r="E31" t="s">
        <v>34</v>
      </c>
      <c r="F31" t="s">
        <v>47</v>
      </c>
      <c r="G31" s="1">
        <v>44947</v>
      </c>
      <c r="I31" s="9">
        <f ca="1">DATEDIF(G31,IF(H31="",TODAY(),H31),"Y")+DATEDIF(G31,IF(H31="",TODAY(),H31),"Ym")/12</f>
        <v>3.5833333333333335</v>
      </c>
      <c r="J31" s="7" cm="1">
        <f t="array" aca="1" ref="J31" ca="1">IF(ISNUMBER(I31), I31, DAY (I31) + HOUR (I31)/24)</f>
        <v>3.5833333333333335</v>
      </c>
      <c r="K31" t="str">
        <f ca="1">IF(I31&lt;1,"0-1 yr", IF(I31&lt;3,"0-3 Yrs", IF(I31&lt;5, "3-5 yrs","5+Yrs")))</f>
        <v>3-5 yrs</v>
      </c>
      <c r="L31" t="str">
        <f ca="1">IF(M31&lt;&gt;"Left","",IF(Z31&gt;20,"Work-Life Balance",IF(OR(X31&lt;=2,Y31&lt;=2),"Work Culture",IF(Q31&lt;AVERAGEIFS($Q$2:$Q$201,$E$2:$E$201,E31),"Better Salary",IF(IFERROR(DATEDIF(V31,IF(H31="",TODAY(),H31),"y"),0)&gt;=3,"Career Growth","Better Opportunity")))))</f>
        <v/>
      </c>
      <c r="M31" t="s">
        <v>27</v>
      </c>
      <c r="N31" t="s">
        <v>28</v>
      </c>
      <c r="O31">
        <f t="shared" si="0"/>
        <v>5.5443499999999997</v>
      </c>
      <c r="P31" t="str">
        <f t="shared" si="1"/>
        <v>3L-6L</v>
      </c>
      <c r="Q31">
        <v>554435</v>
      </c>
      <c r="R31">
        <v>3</v>
      </c>
      <c r="S31" t="s">
        <v>66</v>
      </c>
      <c r="T31" t="s">
        <v>30</v>
      </c>
      <c r="U31" t="s">
        <v>31</v>
      </c>
      <c r="V31" s="1">
        <v>45918</v>
      </c>
      <c r="W31">
        <v>3.61</v>
      </c>
      <c r="X31">
        <v>2</v>
      </c>
      <c r="Y31">
        <v>2</v>
      </c>
      <c r="Z31">
        <v>15</v>
      </c>
      <c r="AA31">
        <v>20</v>
      </c>
      <c r="AB31">
        <v>34</v>
      </c>
    </row>
    <row r="32" spans="1:28" x14ac:dyDescent="0.35">
      <c r="A32" t="s">
        <v>442</v>
      </c>
      <c r="B32" t="s">
        <v>443</v>
      </c>
      <c r="C32">
        <v>48</v>
      </c>
      <c r="D32" t="s">
        <v>24</v>
      </c>
      <c r="E32" t="s">
        <v>56</v>
      </c>
      <c r="F32" t="s">
        <v>93</v>
      </c>
      <c r="G32" s="1">
        <v>45696</v>
      </c>
      <c r="I32" s="9">
        <f ca="1">DATEDIF(G32,IF(H32="",TODAY(),H32),"Y")+DATEDIF(G32,IF(H32="",TODAY(),H32),"Ym")/12</f>
        <v>1.5</v>
      </c>
      <c r="J32" s="7" cm="1">
        <f t="array" aca="1" ref="J32" ca="1">IF(ISNUMBER(I32), I32, DAY (I32) + HOUR (I32)/24)</f>
        <v>1.5</v>
      </c>
      <c r="K32" t="str">
        <f ca="1">IF(I32&lt;1,"0-1 yr", IF(I32&lt;3,"0-3 Yrs", IF(I32&lt;5, "3-5 yrs","5+Yrs")))</f>
        <v>0-3 Yrs</v>
      </c>
      <c r="L32" t="str">
        <f ca="1">IF(M32&lt;&gt;"Left","",IF(Z32&gt;20,"Work-Life Balance",IF(OR(X32&lt;=2,Y32&lt;=2),"Work Culture",IF(Q32&lt;AVERAGEIFS($Q$2:$Q$201,$E$2:$E$201,E32),"Better Salary",IF(IFERROR(DATEDIF(V32,IF(H32="",TODAY(),H32),"y"),0)&gt;=3,"Career Growth","Better Opportunity")))))</f>
        <v/>
      </c>
      <c r="M32" t="s">
        <v>27</v>
      </c>
      <c r="N32" t="s">
        <v>28</v>
      </c>
      <c r="O32">
        <f t="shared" si="0"/>
        <v>5.60419</v>
      </c>
      <c r="P32" t="str">
        <f t="shared" si="1"/>
        <v>3L-6L</v>
      </c>
      <c r="Q32">
        <v>560419</v>
      </c>
      <c r="R32">
        <v>4</v>
      </c>
      <c r="S32" t="s">
        <v>48</v>
      </c>
      <c r="T32" t="s">
        <v>30</v>
      </c>
      <c r="U32" t="s">
        <v>44</v>
      </c>
      <c r="V32" s="1">
        <v>46019</v>
      </c>
      <c r="W32">
        <v>1.56</v>
      </c>
      <c r="X32">
        <v>5</v>
      </c>
      <c r="Y32">
        <v>1</v>
      </c>
      <c r="Z32">
        <v>9</v>
      </c>
      <c r="AA32">
        <v>42</v>
      </c>
      <c r="AB32">
        <v>7</v>
      </c>
    </row>
    <row r="33" spans="1:28" x14ac:dyDescent="0.35">
      <c r="A33" t="s">
        <v>291</v>
      </c>
      <c r="B33" t="s">
        <v>292</v>
      </c>
      <c r="C33">
        <v>44</v>
      </c>
      <c r="D33" t="s">
        <v>41</v>
      </c>
      <c r="E33" t="s">
        <v>25</v>
      </c>
      <c r="F33" t="s">
        <v>209</v>
      </c>
      <c r="G33" s="1">
        <v>44372</v>
      </c>
      <c r="I33" s="9">
        <f ca="1">DATEDIF(G33,IF(H33="",TODAY(),H33),"Y")+DATEDIF(G33,IF(H33="",TODAY(),H33),"Ym")/12</f>
        <v>5.166666666666667</v>
      </c>
      <c r="J33" s="7" cm="1">
        <f t="array" aca="1" ref="J33" ca="1">IF(ISNUMBER(I33), I33, DAY (I33) + HOUR (I33)/24)</f>
        <v>5.166666666666667</v>
      </c>
      <c r="K33" t="str">
        <f ca="1">IF(I33&lt;1,"0-1 yr", IF(I33&lt;3,"0-3 Yrs", IF(I33&lt;5, "3-5 yrs","5+Yrs")))</f>
        <v>5+Yrs</v>
      </c>
      <c r="L33" t="str">
        <f ca="1">IF(M33&lt;&gt;"Left","",IF(Z33&gt;20,"Work-Life Balance",IF(OR(X33&lt;=2,Y33&lt;=2),"Work Culture",IF(Q33&lt;AVERAGEIFS($Q$2:$Q$201,$E$2:$E$201,E33),"Better Salary",IF(IFERROR(DATEDIF(V33,IF(H33="",TODAY(),H33),"y"),0)&gt;=3,"Career Growth","Better Opportunity")))))</f>
        <v/>
      </c>
      <c r="M33" t="s">
        <v>27</v>
      </c>
      <c r="N33" t="s">
        <v>28</v>
      </c>
      <c r="O33">
        <f t="shared" si="0"/>
        <v>5.7344999999999997</v>
      </c>
      <c r="P33" t="str">
        <f t="shared" si="1"/>
        <v>3L-6L</v>
      </c>
      <c r="Q33">
        <v>573450</v>
      </c>
      <c r="R33">
        <v>3</v>
      </c>
      <c r="S33" t="s">
        <v>98</v>
      </c>
      <c r="T33" t="s">
        <v>37</v>
      </c>
      <c r="U33" t="s">
        <v>122</v>
      </c>
      <c r="V33" s="1">
        <v>44893</v>
      </c>
      <c r="W33">
        <v>5.18</v>
      </c>
      <c r="X33">
        <v>1</v>
      </c>
      <c r="Y33">
        <v>3</v>
      </c>
      <c r="Z33">
        <v>8</v>
      </c>
      <c r="AA33">
        <v>34</v>
      </c>
      <c r="AB33">
        <v>18</v>
      </c>
    </row>
    <row r="34" spans="1:28" x14ac:dyDescent="0.35">
      <c r="A34" t="s">
        <v>232</v>
      </c>
      <c r="B34" t="s">
        <v>233</v>
      </c>
      <c r="C34">
        <v>57</v>
      </c>
      <c r="D34" t="s">
        <v>24</v>
      </c>
      <c r="E34" t="s">
        <v>25</v>
      </c>
      <c r="F34" t="s">
        <v>234</v>
      </c>
      <c r="G34" s="1">
        <v>43708</v>
      </c>
      <c r="I34" s="9">
        <f ca="1">DATEDIF(G34,IF(H34="",TODAY(),H34),"Y")+DATEDIF(G34,IF(H34="",TODAY(),H34),"Ym")/12</f>
        <v>7</v>
      </c>
      <c r="J34" s="7" cm="1">
        <f t="array" aca="1" ref="J34" ca="1">IF(ISNUMBER(I34), I34, DAY (I34) + HOUR (I34)/24)</f>
        <v>7</v>
      </c>
      <c r="K34" t="str">
        <f ca="1">IF(I34&lt;1,"0-1 yr", IF(I34&lt;3,"0-3 Yrs", IF(I34&lt;5, "3-5 yrs","5+Yrs")))</f>
        <v>5+Yrs</v>
      </c>
      <c r="L34" t="str">
        <f ca="1">IF(M34&lt;&gt;"Left","",IF(Z34&gt;20,"Work-Life Balance",IF(OR(X34&lt;=2,Y34&lt;=2),"Work Culture",IF(Q34&lt;AVERAGEIFS($Q$2:$Q$201,$E$2:$E$201,E34),"Better Salary",IF(IFERROR(DATEDIF(V34,IF(H34="",TODAY(),H34),"y"),0)&gt;=3,"Career Growth","Better Opportunity")))))</f>
        <v/>
      </c>
      <c r="M34" t="s">
        <v>27</v>
      </c>
      <c r="N34" t="s">
        <v>28</v>
      </c>
      <c r="O34">
        <f t="shared" ref="O34:O65" si="2">Q34*1/100000</f>
        <v>5.7534099999999997</v>
      </c>
      <c r="P34" t="str">
        <f t="shared" ref="P34:P65" si="3">IF(Q34*1&lt;600000,"3L-6L",IF(Q34*1&lt;800000,"6L-8L",IF(Q34*1&lt;1000000,"8L-10L",IF(Q34*1&lt;1200000,"10L-12L",IF(Q34*1&lt;1500000,"12L-15L",IF(Q34*1&lt;2000000,"15L-20L","20L-30L"))))))</f>
        <v>3L-6L</v>
      </c>
      <c r="Q34">
        <v>575341</v>
      </c>
      <c r="R34">
        <v>3</v>
      </c>
      <c r="S34" t="s">
        <v>98</v>
      </c>
      <c r="T34" t="s">
        <v>43</v>
      </c>
      <c r="U34" t="s">
        <v>87</v>
      </c>
      <c r="V34" s="1">
        <v>45052</v>
      </c>
      <c r="W34">
        <v>7</v>
      </c>
      <c r="X34">
        <v>1</v>
      </c>
      <c r="Y34">
        <v>1</v>
      </c>
      <c r="Z34">
        <v>16</v>
      </c>
      <c r="AA34">
        <v>28</v>
      </c>
      <c r="AB34">
        <v>24</v>
      </c>
    </row>
    <row r="35" spans="1:28" x14ac:dyDescent="0.35">
      <c r="A35" t="s">
        <v>289</v>
      </c>
      <c r="B35" t="s">
        <v>290</v>
      </c>
      <c r="C35">
        <v>27</v>
      </c>
      <c r="D35" t="s">
        <v>41</v>
      </c>
      <c r="E35" t="s">
        <v>34</v>
      </c>
      <c r="F35" t="s">
        <v>47</v>
      </c>
      <c r="G35" s="1">
        <v>44368</v>
      </c>
      <c r="I35" s="9">
        <f ca="1">DATEDIF(G35,IF(H35="",TODAY(),H35),"Y")+DATEDIF(G35,IF(H35="",TODAY(),H35),"Ym")/12</f>
        <v>5.166666666666667</v>
      </c>
      <c r="J35" s="7" cm="1">
        <f t="array" aca="1" ref="J35" ca="1">IF(ISNUMBER(I35), I35, DAY (I35) + HOUR (I35)/24)</f>
        <v>5.166666666666667</v>
      </c>
      <c r="K35" t="str">
        <f ca="1">IF(I35&lt;1,"0-1 yr", IF(I35&lt;3,"0-3 Yrs", IF(I35&lt;5, "3-5 yrs","5+Yrs")))</f>
        <v>5+Yrs</v>
      </c>
      <c r="L35" t="str">
        <f ca="1">IF(M35&lt;&gt;"Left","",IF(Z35&gt;20,"Work-Life Balance",IF(OR(X35&lt;=2,Y35&lt;=2),"Work Culture",IF(Q35&lt;AVERAGEIFS($Q$2:$Q$201,$E$2:$E$201,E35),"Better Salary",IF(IFERROR(DATEDIF(V35,IF(H35="",TODAY(),H35),"y"),0)&gt;=3,"Career Growth","Better Opportunity")))))</f>
        <v/>
      </c>
      <c r="M35" t="s">
        <v>27</v>
      </c>
      <c r="N35" t="s">
        <v>28</v>
      </c>
      <c r="O35">
        <f t="shared" si="2"/>
        <v>5.7536500000000004</v>
      </c>
      <c r="P35" t="str">
        <f t="shared" si="3"/>
        <v>3L-6L</v>
      </c>
      <c r="Q35">
        <v>575365</v>
      </c>
      <c r="R35">
        <v>2</v>
      </c>
      <c r="S35" t="s">
        <v>73</v>
      </c>
      <c r="T35" t="s">
        <v>30</v>
      </c>
      <c r="U35" t="s">
        <v>53</v>
      </c>
      <c r="V35" s="1">
        <v>45820</v>
      </c>
      <c r="W35">
        <v>5.19</v>
      </c>
      <c r="X35">
        <v>1</v>
      </c>
      <c r="Y35">
        <v>5</v>
      </c>
      <c r="Z35">
        <v>8</v>
      </c>
      <c r="AA35">
        <v>41</v>
      </c>
      <c r="AB35">
        <v>25</v>
      </c>
    </row>
    <row r="36" spans="1:28" x14ac:dyDescent="0.35">
      <c r="A36" t="s">
        <v>421</v>
      </c>
      <c r="B36" t="s">
        <v>422</v>
      </c>
      <c r="C36">
        <v>56</v>
      </c>
      <c r="D36" t="s">
        <v>41</v>
      </c>
      <c r="E36" t="s">
        <v>25</v>
      </c>
      <c r="F36" t="s">
        <v>234</v>
      </c>
      <c r="G36" s="1">
        <v>45424</v>
      </c>
      <c r="H36" s="1">
        <v>45623</v>
      </c>
      <c r="I36" s="9">
        <f ca="1">DATEDIF(G36,IF(H36="",TODAY(),H36),"Y")+DATEDIF(G36,IF(H36="",TODAY(),H36),"Ym")/12</f>
        <v>0.5</v>
      </c>
      <c r="J36" s="7" cm="1">
        <f t="array" aca="1" ref="J36" ca="1">IF(ISNUMBER(I36), I36, DAY (I36) + HOUR (I36)/24)</f>
        <v>0.5</v>
      </c>
      <c r="K36" s="1" t="str">
        <f ca="1">IF(I36&lt;1,"0-1 yr", IF(I36&lt;3,"0-3 Yrs", IF(I36&lt;5, "3-5 yrs","5+Yrs")))</f>
        <v>0-1 yr</v>
      </c>
      <c r="L36" t="str">
        <f ca="1">IF(M36&lt;&gt;"Left","",IF(Z36&gt;20,"Work-Life Balance",IF(OR(X36&lt;=2,Y36&lt;=2),"Work Culture",IF(Q36&lt;AVERAGEIFS($Q$2:$Q$201,$E$2:$E$201,E36),"Better Salary",IF(IFERROR(DATEDIF(V36,IF(H36="",TODAY(),H36),"y"),0)&gt;=3,"Career Growth","Better Opportunity")))))</f>
        <v>Work Culture</v>
      </c>
      <c r="M36" t="s">
        <v>69</v>
      </c>
      <c r="N36" t="s">
        <v>70</v>
      </c>
      <c r="O36">
        <f t="shared" si="2"/>
        <v>5.7764199999999999</v>
      </c>
      <c r="P36" t="str">
        <f t="shared" si="3"/>
        <v>3L-6L</v>
      </c>
      <c r="Q36">
        <v>577642</v>
      </c>
      <c r="R36">
        <v>4</v>
      </c>
      <c r="S36" t="s">
        <v>29</v>
      </c>
      <c r="T36" t="s">
        <v>30</v>
      </c>
      <c r="U36" t="s">
        <v>58</v>
      </c>
      <c r="V36" s="1">
        <v>46082</v>
      </c>
      <c r="W36">
        <v>0.54</v>
      </c>
      <c r="X36">
        <v>1</v>
      </c>
      <c r="Y36">
        <v>2</v>
      </c>
      <c r="Z36">
        <v>15</v>
      </c>
      <c r="AA36">
        <v>7</v>
      </c>
      <c r="AB36">
        <v>21</v>
      </c>
    </row>
    <row r="37" spans="1:28" x14ac:dyDescent="0.35">
      <c r="A37" t="s">
        <v>277</v>
      </c>
      <c r="B37" t="s">
        <v>278</v>
      </c>
      <c r="C37">
        <v>55</v>
      </c>
      <c r="D37" t="s">
        <v>24</v>
      </c>
      <c r="E37" t="s">
        <v>56</v>
      </c>
      <c r="F37" t="s">
        <v>57</v>
      </c>
      <c r="G37" s="1">
        <v>44196</v>
      </c>
      <c r="I37" s="9">
        <f ca="1">DATEDIF(G37,IF(H37="",TODAY(),H37),"Y")+DATEDIF(G37,IF(H37="",TODAY(),H37),"Ym")/12</f>
        <v>5.666666666666667</v>
      </c>
      <c r="J37" s="7" cm="1">
        <f t="array" aca="1" ref="J37" ca="1">IF(ISNUMBER(I37), I37, DAY (I37) + HOUR (I37)/24)</f>
        <v>5.666666666666667</v>
      </c>
      <c r="K37" t="str">
        <f ca="1">IF(I37&lt;1,"0-1 yr", IF(I37&lt;3,"0-3 Yrs", IF(I37&lt;5, "3-5 yrs","5+Yrs")))</f>
        <v>5+Yrs</v>
      </c>
      <c r="L37" t="str">
        <f ca="1">IF(M37&lt;&gt;"Left","",IF(Z37&gt;20,"Work-Life Balance",IF(OR(X37&lt;=2,Y37&lt;=2),"Work Culture",IF(Q37&lt;AVERAGEIFS($Q$2:$Q$201,$E$2:$E$201,E37),"Better Salary",IF(IFERROR(DATEDIF(V37,IF(H37="",TODAY(),H37),"y"),0)&gt;=3,"Career Growth","Better Opportunity")))))</f>
        <v/>
      </c>
      <c r="M37" t="s">
        <v>27</v>
      </c>
      <c r="N37" t="s">
        <v>28</v>
      </c>
      <c r="O37">
        <f t="shared" si="2"/>
        <v>5.8028300000000002</v>
      </c>
      <c r="P37" t="str">
        <f t="shared" si="3"/>
        <v>3L-6L</v>
      </c>
      <c r="Q37">
        <v>580283</v>
      </c>
      <c r="R37">
        <v>4</v>
      </c>
      <c r="S37" t="s">
        <v>77</v>
      </c>
      <c r="T37" t="s">
        <v>43</v>
      </c>
      <c r="U37" t="s">
        <v>58</v>
      </c>
      <c r="V37" s="1">
        <v>44854</v>
      </c>
      <c r="W37">
        <v>5.66</v>
      </c>
      <c r="X37">
        <v>4</v>
      </c>
      <c r="Y37">
        <v>4</v>
      </c>
      <c r="Z37">
        <v>12</v>
      </c>
      <c r="AA37">
        <v>74</v>
      </c>
      <c r="AB37">
        <v>38</v>
      </c>
    </row>
    <row r="38" spans="1:28" x14ac:dyDescent="0.35">
      <c r="A38" t="s">
        <v>261</v>
      </c>
      <c r="B38" t="s">
        <v>262</v>
      </c>
      <c r="C38">
        <v>57</v>
      </c>
      <c r="D38" t="s">
        <v>41</v>
      </c>
      <c r="E38" t="s">
        <v>34</v>
      </c>
      <c r="F38" t="s">
        <v>47</v>
      </c>
      <c r="G38" s="1">
        <v>44013</v>
      </c>
      <c r="I38" s="9">
        <f ca="1">DATEDIF(G38,IF(H38="",TODAY(),H38),"Y")+DATEDIF(G38,IF(H38="",TODAY(),H38),"Ym")/12</f>
        <v>6.166666666666667</v>
      </c>
      <c r="J38" s="7" cm="1">
        <f t="array" aca="1" ref="J38" ca="1">IF(ISNUMBER(I38), I38, DAY (I38) + HOUR (I38)/24)</f>
        <v>6.166666666666667</v>
      </c>
      <c r="K38" t="str">
        <f ca="1">IF(I38&lt;1,"0-1 yr", IF(I38&lt;3,"0-3 Yrs", IF(I38&lt;5, "3-5 yrs","5+Yrs")))</f>
        <v>5+Yrs</v>
      </c>
      <c r="L38" t="str">
        <f ca="1">IF(M38&lt;&gt;"Left","",IF(Z38&gt;20,"Work-Life Balance",IF(OR(X38&lt;=2,Y38&lt;=2),"Work Culture",IF(Q38&lt;AVERAGEIFS($Q$2:$Q$201,$E$2:$E$201,E38),"Better Salary",IF(IFERROR(DATEDIF(V38,IF(H38="",TODAY(),H38),"y"),0)&gt;=3,"Career Growth","Better Opportunity")))))</f>
        <v/>
      </c>
      <c r="M38" t="s">
        <v>27</v>
      </c>
      <c r="N38" t="s">
        <v>28</v>
      </c>
      <c r="O38">
        <f t="shared" si="2"/>
        <v>5.8039699999999996</v>
      </c>
      <c r="P38" t="str">
        <f t="shared" si="3"/>
        <v>3L-6L</v>
      </c>
      <c r="Q38">
        <v>580397</v>
      </c>
      <c r="R38">
        <v>3</v>
      </c>
      <c r="S38" t="s">
        <v>98</v>
      </c>
      <c r="T38" t="s">
        <v>37</v>
      </c>
      <c r="U38" t="s">
        <v>106</v>
      </c>
      <c r="W38">
        <v>6.16</v>
      </c>
      <c r="X38">
        <v>1</v>
      </c>
      <c r="Y38">
        <v>2</v>
      </c>
      <c r="Z38">
        <v>24</v>
      </c>
      <c r="AA38">
        <v>40</v>
      </c>
      <c r="AB38">
        <v>11</v>
      </c>
    </row>
    <row r="39" spans="1:28" x14ac:dyDescent="0.35">
      <c r="A39" t="s">
        <v>45</v>
      </c>
      <c r="B39" t="s">
        <v>46</v>
      </c>
      <c r="C39">
        <v>40</v>
      </c>
      <c r="D39" t="s">
        <v>24</v>
      </c>
      <c r="E39" t="s">
        <v>34</v>
      </c>
      <c r="F39" t="s">
        <v>47</v>
      </c>
      <c r="G39" s="1">
        <v>42023</v>
      </c>
      <c r="I39" s="9">
        <f ca="1">DATEDIF(G39,IF(H39="",TODAY(),H39),"Y")+DATEDIF(G39,IF(H39="",TODAY(),H39),"Ym")/12</f>
        <v>11.583333333333334</v>
      </c>
      <c r="J39" s="7" cm="1">
        <f t="array" aca="1" ref="J39" ca="1">IF(ISNUMBER(I39), I39, DAY (I39) + HOUR (I39)/24)</f>
        <v>11.583333333333334</v>
      </c>
      <c r="K39" t="str">
        <f ca="1">IF(I39&lt;1,"0-1 yr", IF(I39&lt;3,"0-3 Yrs", IF(I39&lt;5, "3-5 yrs","5+Yrs")))</f>
        <v>5+Yrs</v>
      </c>
      <c r="L39" t="str">
        <f ca="1">IF(M39&lt;&gt;"Left","",IF(Z39&gt;20,"Work-Life Balance",IF(OR(X39&lt;=2,Y39&lt;=2),"Work Culture",IF(Q39&lt;AVERAGEIFS($Q$2:$Q$201,$E$2:$E$201,E39),"Better Salary",IF(IFERROR(DATEDIF(V39,IF(H39="",TODAY(),H39),"y"),0)&gt;=3,"Career Growth","Better Opportunity")))))</f>
        <v/>
      </c>
      <c r="M39" t="s">
        <v>27</v>
      </c>
      <c r="N39" t="s">
        <v>28</v>
      </c>
      <c r="O39">
        <f t="shared" si="2"/>
        <v>5.8251299999999997</v>
      </c>
      <c r="P39" t="str">
        <f t="shared" si="3"/>
        <v>3L-6L</v>
      </c>
      <c r="Q39">
        <v>582513</v>
      </c>
      <c r="R39">
        <v>3</v>
      </c>
      <c r="S39" t="s">
        <v>48</v>
      </c>
      <c r="T39" t="s">
        <v>37</v>
      </c>
      <c r="U39" t="s">
        <v>38</v>
      </c>
      <c r="W39">
        <v>11.61</v>
      </c>
      <c r="X39">
        <v>5</v>
      </c>
      <c r="Y39">
        <v>2</v>
      </c>
      <c r="Z39">
        <v>13</v>
      </c>
      <c r="AA39">
        <v>51</v>
      </c>
      <c r="AB39">
        <v>3</v>
      </c>
    </row>
    <row r="40" spans="1:28" x14ac:dyDescent="0.35">
      <c r="A40" t="s">
        <v>351</v>
      </c>
      <c r="B40" t="s">
        <v>352</v>
      </c>
      <c r="C40">
        <v>56</v>
      </c>
      <c r="D40" t="s">
        <v>24</v>
      </c>
      <c r="E40" t="s">
        <v>25</v>
      </c>
      <c r="F40" t="s">
        <v>209</v>
      </c>
      <c r="G40" s="1">
        <v>44907</v>
      </c>
      <c r="I40" s="9">
        <f ca="1">DATEDIF(G40,IF(H40="",TODAY(),H40),"Y")+DATEDIF(G40,IF(H40="",TODAY(),H40),"Ym")/12</f>
        <v>3.6666666666666665</v>
      </c>
      <c r="J40" s="7" cm="1">
        <f t="array" aca="1" ref="J40" ca="1">IF(ISNUMBER(I40), I40, DAY (I40) + HOUR (I40)/24)</f>
        <v>3.6666666666666665</v>
      </c>
      <c r="K40" t="str">
        <f ca="1">IF(I40&lt;1,"0-1 yr", IF(I40&lt;3,"0-3 Yrs", IF(I40&lt;5, "3-5 yrs","5+Yrs")))</f>
        <v>3-5 yrs</v>
      </c>
      <c r="L40" t="str">
        <f ca="1">IF(M40&lt;&gt;"Left","",IF(Z40&gt;20,"Work-Life Balance",IF(OR(X40&lt;=2,Y40&lt;=2),"Work Culture",IF(Q40&lt;AVERAGEIFS($Q$2:$Q$201,$E$2:$E$201,E40),"Better Salary",IF(IFERROR(DATEDIF(V40,IF(H40="",TODAY(),H40),"y"),0)&gt;=3,"Career Growth","Better Opportunity")))))</f>
        <v/>
      </c>
      <c r="M40" t="s">
        <v>27</v>
      </c>
      <c r="N40" t="s">
        <v>28</v>
      </c>
      <c r="O40">
        <f t="shared" si="2"/>
        <v>5.8542800000000002</v>
      </c>
      <c r="P40" t="str">
        <f t="shared" si="3"/>
        <v>3L-6L</v>
      </c>
      <c r="Q40">
        <v>585428</v>
      </c>
      <c r="R40">
        <v>3</v>
      </c>
      <c r="S40" t="s">
        <v>48</v>
      </c>
      <c r="T40" t="s">
        <v>43</v>
      </c>
      <c r="U40" t="s">
        <v>84</v>
      </c>
      <c r="V40" s="1">
        <v>45885</v>
      </c>
      <c r="W40">
        <v>3.72</v>
      </c>
      <c r="X40">
        <v>1</v>
      </c>
      <c r="Y40">
        <v>5</v>
      </c>
      <c r="Z40">
        <v>19</v>
      </c>
      <c r="AA40">
        <v>51</v>
      </c>
      <c r="AB40">
        <v>23</v>
      </c>
    </row>
    <row r="41" spans="1:28" x14ac:dyDescent="0.35">
      <c r="A41" t="s">
        <v>298</v>
      </c>
      <c r="B41" t="s">
        <v>299</v>
      </c>
      <c r="C41">
        <v>30</v>
      </c>
      <c r="D41" t="s">
        <v>24</v>
      </c>
      <c r="E41" t="s">
        <v>89</v>
      </c>
      <c r="F41" t="s">
        <v>152</v>
      </c>
      <c r="G41" s="1">
        <v>44451</v>
      </c>
      <c r="I41" s="9">
        <f ca="1">DATEDIF(G41,IF(H41="",TODAY(),H41),"Y")+DATEDIF(G41,IF(H41="",TODAY(),H41),"Ym")/12</f>
        <v>4.916666666666667</v>
      </c>
      <c r="J41" s="7" cm="1">
        <f t="array" aca="1" ref="J41" ca="1">IF(ISNUMBER(I41), I41, DAY (I41) + HOUR (I41)/24)</f>
        <v>4.916666666666667</v>
      </c>
      <c r="K41" t="str">
        <f ca="1">IF(I41&lt;1,"0-1 yr", IF(I41&lt;3,"0-3 Yrs", IF(I41&lt;5, "3-5 yrs","5+Yrs")))</f>
        <v>3-5 yrs</v>
      </c>
      <c r="L41" t="str">
        <f ca="1">IF(M41&lt;&gt;"Left","",IF(Z41&gt;20,"Work-Life Balance",IF(OR(X41&lt;=2,Y41&lt;=2),"Work Culture",IF(Q41&lt;AVERAGEIFS($Q$2:$Q$201,$E$2:$E$201,E41),"Better Salary",IF(IFERROR(DATEDIF(V41,IF(H41="",TODAY(),H41),"y"),0)&gt;=3,"Career Growth","Better Opportunity")))))</f>
        <v/>
      </c>
      <c r="M41" t="s">
        <v>27</v>
      </c>
      <c r="N41" t="s">
        <v>28</v>
      </c>
      <c r="O41">
        <f t="shared" si="2"/>
        <v>5.8677400000000004</v>
      </c>
      <c r="P41" t="str">
        <f t="shared" si="3"/>
        <v>3L-6L</v>
      </c>
      <c r="Q41">
        <v>586774</v>
      </c>
      <c r="R41">
        <v>3</v>
      </c>
      <c r="S41" t="s">
        <v>48</v>
      </c>
      <c r="T41" t="s">
        <v>37</v>
      </c>
      <c r="U41" t="s">
        <v>53</v>
      </c>
      <c r="V41" s="1">
        <v>44954</v>
      </c>
      <c r="W41">
        <v>4.96</v>
      </c>
      <c r="X41">
        <v>4</v>
      </c>
      <c r="Y41">
        <v>4</v>
      </c>
      <c r="Z41">
        <v>2</v>
      </c>
      <c r="AA41">
        <v>53</v>
      </c>
      <c r="AB41">
        <v>36</v>
      </c>
    </row>
    <row r="42" spans="1:28" x14ac:dyDescent="0.35">
      <c r="A42" t="s">
        <v>453</v>
      </c>
      <c r="B42" t="s">
        <v>454</v>
      </c>
      <c r="C42">
        <v>35</v>
      </c>
      <c r="D42" t="s">
        <v>24</v>
      </c>
      <c r="E42" t="s">
        <v>89</v>
      </c>
      <c r="F42" t="s">
        <v>90</v>
      </c>
      <c r="G42" s="1">
        <v>45809</v>
      </c>
      <c r="I42" s="9">
        <f ca="1">DATEDIF(G42,IF(H42="",TODAY(),H42),"Y")+DATEDIF(G42,IF(H42="",TODAY(),H42),"Ym")/12</f>
        <v>1.25</v>
      </c>
      <c r="J42" s="7" cm="1">
        <f t="array" aca="1" ref="J42" ca="1">IF(ISNUMBER(I42), I42, DAY (I42) + HOUR (I42)/24)</f>
        <v>1.25</v>
      </c>
      <c r="K42" t="str">
        <f ca="1">IF(I42&lt;1,"0-1 yr", IF(I42&lt;3,"0-3 Yrs", IF(I42&lt;5, "3-5 yrs","5+Yrs")))</f>
        <v>0-3 Yrs</v>
      </c>
      <c r="L42" t="str">
        <f ca="1">IF(M42&lt;&gt;"Left","",IF(Z42&gt;20,"Work-Life Balance",IF(OR(X42&lt;=2,Y42&lt;=2),"Work Culture",IF(Q42&lt;AVERAGEIFS($Q$2:$Q$201,$E$2:$E$201,E42),"Better Salary",IF(IFERROR(DATEDIF(V42,IF(H42="",TODAY(),H42),"y"),0)&gt;=3,"Career Growth","Better Opportunity")))))</f>
        <v/>
      </c>
      <c r="M42" t="s">
        <v>27</v>
      </c>
      <c r="N42" t="s">
        <v>28</v>
      </c>
      <c r="O42">
        <f t="shared" si="2"/>
        <v>5.8944599999999996</v>
      </c>
      <c r="P42" t="str">
        <f t="shared" si="3"/>
        <v>3L-6L</v>
      </c>
      <c r="Q42">
        <v>589446</v>
      </c>
      <c r="R42">
        <v>4</v>
      </c>
      <c r="S42" t="s">
        <v>77</v>
      </c>
      <c r="T42" t="s">
        <v>30</v>
      </c>
      <c r="U42" t="s">
        <v>87</v>
      </c>
      <c r="V42" s="1">
        <v>46188</v>
      </c>
      <c r="W42">
        <v>1.25</v>
      </c>
      <c r="X42">
        <v>5</v>
      </c>
      <c r="Y42">
        <v>4</v>
      </c>
      <c r="Z42">
        <v>13</v>
      </c>
      <c r="AA42">
        <v>66</v>
      </c>
      <c r="AB42">
        <v>41</v>
      </c>
    </row>
    <row r="43" spans="1:28" x14ac:dyDescent="0.35">
      <c r="A43" t="s">
        <v>94</v>
      </c>
      <c r="B43" t="s">
        <v>95</v>
      </c>
      <c r="C43">
        <v>24</v>
      </c>
      <c r="D43" t="s">
        <v>41</v>
      </c>
      <c r="E43" t="s">
        <v>34</v>
      </c>
      <c r="F43" t="s">
        <v>47</v>
      </c>
      <c r="G43" s="1">
        <v>42360</v>
      </c>
      <c r="I43" s="9">
        <f ca="1">DATEDIF(G43,IF(H43="",TODAY(),H43),"Y")+DATEDIF(G43,IF(H43="",TODAY(),H43),"Ym")/12</f>
        <v>10.666666666666666</v>
      </c>
      <c r="J43" s="7" cm="1">
        <f t="array" aca="1" ref="J43" ca="1">IF(ISNUMBER(I43), I43, DAY (I43) + HOUR (I43)/24)</f>
        <v>10.666666666666666</v>
      </c>
      <c r="K43" t="str">
        <f ca="1">IF(I43&lt;1,"0-1 yr", IF(I43&lt;3,"0-3 Yrs", IF(I43&lt;5, "3-5 yrs","5+Yrs")))</f>
        <v>5+Yrs</v>
      </c>
      <c r="L43" t="str">
        <f ca="1">IF(M43&lt;&gt;"Left","",IF(Z43&gt;20,"Work-Life Balance",IF(OR(X43&lt;=2,Y43&lt;=2),"Work Culture",IF(Q43&lt;AVERAGEIFS($Q$2:$Q$201,$E$2:$E$201,E43),"Better Salary",IF(IFERROR(DATEDIF(V43,IF(H43="",TODAY(),H43),"y"),0)&gt;=3,"Career Growth","Better Opportunity")))))</f>
        <v/>
      </c>
      <c r="M43" t="s">
        <v>27</v>
      </c>
      <c r="N43" t="s">
        <v>28</v>
      </c>
      <c r="O43">
        <f t="shared" si="2"/>
        <v>5.9260900000000003</v>
      </c>
      <c r="P43" t="str">
        <f t="shared" si="3"/>
        <v>3L-6L</v>
      </c>
      <c r="Q43">
        <v>592609</v>
      </c>
      <c r="R43">
        <v>2</v>
      </c>
      <c r="S43" t="s">
        <v>52</v>
      </c>
      <c r="T43" t="s">
        <v>30</v>
      </c>
      <c r="U43" t="s">
        <v>53</v>
      </c>
      <c r="W43">
        <v>10.69</v>
      </c>
      <c r="X43">
        <v>1</v>
      </c>
      <c r="Y43">
        <v>3</v>
      </c>
      <c r="Z43">
        <v>3</v>
      </c>
      <c r="AA43">
        <v>28</v>
      </c>
      <c r="AB43">
        <v>32</v>
      </c>
    </row>
    <row r="44" spans="1:28" x14ac:dyDescent="0.35">
      <c r="A44" t="s">
        <v>201</v>
      </c>
      <c r="B44" t="s">
        <v>202</v>
      </c>
      <c r="C44">
        <v>39</v>
      </c>
      <c r="D44" t="s">
        <v>41</v>
      </c>
      <c r="E44" t="s">
        <v>25</v>
      </c>
      <c r="F44" t="s">
        <v>26</v>
      </c>
      <c r="G44" s="1">
        <v>43427</v>
      </c>
      <c r="I44" s="9">
        <f ca="1">DATEDIF(G44,IF(H44="",TODAY(),H44),"Y")+DATEDIF(G44,IF(H44="",TODAY(),H44),"Ym")/12</f>
        <v>7.75</v>
      </c>
      <c r="J44" s="7" cm="1">
        <f t="array" aca="1" ref="J44" ca="1">IF(ISNUMBER(I44), I44, DAY (I44) + HOUR (I44)/24)</f>
        <v>7.75</v>
      </c>
      <c r="K44" t="str">
        <f ca="1">IF(I44&lt;1,"0-1 yr", IF(I44&lt;3,"0-3 Yrs", IF(I44&lt;5, "3-5 yrs","5+Yrs")))</f>
        <v>5+Yrs</v>
      </c>
      <c r="L44" t="str">
        <f ca="1">IF(M44&lt;&gt;"Left","",IF(Z44&gt;20,"Work-Life Balance",IF(OR(X44&lt;=2,Y44&lt;=2),"Work Culture",IF(Q44&lt;AVERAGEIFS($Q$2:$Q$201,$E$2:$E$201,E44),"Better Salary",IF(IFERROR(DATEDIF(V44,IF(H44="",TODAY(),H44),"y"),0)&gt;=3,"Career Growth","Better Opportunity")))))</f>
        <v/>
      </c>
      <c r="M44" t="s">
        <v>27</v>
      </c>
      <c r="N44" t="s">
        <v>28</v>
      </c>
      <c r="O44">
        <f t="shared" si="2"/>
        <v>5.9853699999999996</v>
      </c>
      <c r="P44" t="str">
        <f t="shared" si="3"/>
        <v>3L-6L</v>
      </c>
      <c r="Q44">
        <v>598537</v>
      </c>
      <c r="R44">
        <v>4</v>
      </c>
      <c r="S44" t="s">
        <v>66</v>
      </c>
      <c r="T44" t="s">
        <v>43</v>
      </c>
      <c r="U44" t="s">
        <v>87</v>
      </c>
      <c r="V44" s="1">
        <v>45124</v>
      </c>
      <c r="W44">
        <v>7.77</v>
      </c>
      <c r="X44">
        <v>1</v>
      </c>
      <c r="Y44">
        <v>4</v>
      </c>
      <c r="Z44">
        <v>17</v>
      </c>
      <c r="AA44">
        <v>70</v>
      </c>
      <c r="AB44">
        <v>36</v>
      </c>
    </row>
    <row r="45" spans="1:28" x14ac:dyDescent="0.35">
      <c r="A45" t="s">
        <v>302</v>
      </c>
      <c r="B45" t="s">
        <v>303</v>
      </c>
      <c r="C45">
        <v>52</v>
      </c>
      <c r="D45" t="s">
        <v>24</v>
      </c>
      <c r="E45" t="s">
        <v>56</v>
      </c>
      <c r="F45" t="s">
        <v>57</v>
      </c>
      <c r="G45" s="1">
        <v>44523</v>
      </c>
      <c r="I45" s="9">
        <f ca="1">DATEDIF(G45,IF(H45="",TODAY(),H45),"Y")+DATEDIF(G45,IF(H45="",TODAY(),H45),"Ym")/12</f>
        <v>4.75</v>
      </c>
      <c r="J45" s="7" cm="1">
        <f t="array" aca="1" ref="J45" ca="1">IF(ISNUMBER(I45), I45, DAY (I45) + HOUR (I45)/24)</f>
        <v>4.75</v>
      </c>
      <c r="K45" t="str">
        <f ca="1">IF(I45&lt;1,"0-1 yr", IF(I45&lt;3,"0-3 Yrs", IF(I45&lt;5, "3-5 yrs","5+Yrs")))</f>
        <v>3-5 yrs</v>
      </c>
      <c r="L45" t="str">
        <f ca="1">IF(M45&lt;&gt;"Left","",IF(Z45&gt;20,"Work-Life Balance",IF(OR(X45&lt;=2,Y45&lt;=2),"Work Culture",IF(Q45&lt;AVERAGEIFS($Q$2:$Q$201,$E$2:$E$201,E45),"Better Salary",IF(IFERROR(DATEDIF(V45,IF(H45="",TODAY(),H45),"y"),0)&gt;=3,"Career Growth","Better Opportunity")))))</f>
        <v/>
      </c>
      <c r="M45" t="s">
        <v>27</v>
      </c>
      <c r="N45" t="s">
        <v>28</v>
      </c>
      <c r="O45">
        <f t="shared" si="2"/>
        <v>6.0262500000000001</v>
      </c>
      <c r="P45" t="str">
        <f t="shared" si="3"/>
        <v>6L-8L</v>
      </c>
      <c r="Q45">
        <v>602625</v>
      </c>
      <c r="R45">
        <v>4</v>
      </c>
      <c r="S45" t="s">
        <v>48</v>
      </c>
      <c r="T45" t="s">
        <v>30</v>
      </c>
      <c r="U45" t="s">
        <v>58</v>
      </c>
      <c r="V45" s="1">
        <v>45245</v>
      </c>
      <c r="W45">
        <v>4.7699999999999996</v>
      </c>
      <c r="X45">
        <v>4</v>
      </c>
      <c r="Y45">
        <v>5</v>
      </c>
      <c r="Z45">
        <v>11</v>
      </c>
      <c r="AA45">
        <v>54</v>
      </c>
      <c r="AB45">
        <v>15</v>
      </c>
    </row>
    <row r="46" spans="1:28" x14ac:dyDescent="0.35">
      <c r="A46" t="s">
        <v>375</v>
      </c>
      <c r="B46" t="s">
        <v>376</v>
      </c>
      <c r="C46">
        <v>53</v>
      </c>
      <c r="D46" t="s">
        <v>24</v>
      </c>
      <c r="E46" t="s">
        <v>25</v>
      </c>
      <c r="F46" t="s">
        <v>209</v>
      </c>
      <c r="G46" s="1">
        <v>45130</v>
      </c>
      <c r="H46" s="1">
        <v>45837</v>
      </c>
      <c r="I46" s="9">
        <f ca="1">DATEDIF(G46,IF(H46="",TODAY(),H46),"Y")+DATEDIF(G46,IF(H46="",TODAY(),H46),"Ym")/12</f>
        <v>1.9166666666666665</v>
      </c>
      <c r="J46" s="7" cm="1">
        <f t="array" aca="1" ref="J46" ca="1">IF(ISNUMBER(I46), I46, DAY (I46) + HOUR (I46)/24)</f>
        <v>1.9166666666666665</v>
      </c>
      <c r="K46" s="1" t="str">
        <f ca="1">IF(I46&lt;1,"0-1 yr", IF(I46&lt;3,"0-3 Yrs", IF(I46&lt;5, "3-5 yrs","5+Yrs")))</f>
        <v>0-3 Yrs</v>
      </c>
      <c r="L46" t="str">
        <f ca="1">IF(M46&lt;&gt;"Left","",IF(Z46&gt;20,"Work-Life Balance",IF(OR(X46&lt;=2,Y46&lt;=2),"Work Culture",IF(Q46&lt;AVERAGEIFS($Q$2:$Q$201,$E$2:$E$201,E46),"Better Salary",IF(IFERROR(DATEDIF(V46,IF(H46="",TODAY(),H46),"y"),0)&gt;=3,"Career Growth","Better Opportunity")))))</f>
        <v>Better Salary</v>
      </c>
      <c r="M46" t="s">
        <v>69</v>
      </c>
      <c r="N46" t="s">
        <v>70</v>
      </c>
      <c r="O46">
        <f t="shared" si="2"/>
        <v>6.0319700000000003</v>
      </c>
      <c r="P46" t="str">
        <f t="shared" si="3"/>
        <v>6L-8L</v>
      </c>
      <c r="Q46">
        <v>603197</v>
      </c>
      <c r="R46">
        <v>3</v>
      </c>
      <c r="S46" t="s">
        <v>52</v>
      </c>
      <c r="T46" t="s">
        <v>30</v>
      </c>
      <c r="U46" t="s">
        <v>38</v>
      </c>
      <c r="W46">
        <v>1.94</v>
      </c>
      <c r="X46">
        <v>4</v>
      </c>
      <c r="Y46">
        <v>5</v>
      </c>
      <c r="Z46">
        <v>18</v>
      </c>
      <c r="AA46">
        <v>23</v>
      </c>
      <c r="AB46">
        <v>22</v>
      </c>
    </row>
    <row r="47" spans="1:28" x14ac:dyDescent="0.35">
      <c r="A47" t="s">
        <v>164</v>
      </c>
      <c r="B47" t="s">
        <v>165</v>
      </c>
      <c r="C47">
        <v>22</v>
      </c>
      <c r="D47" t="s">
        <v>41</v>
      </c>
      <c r="E47" t="s">
        <v>34</v>
      </c>
      <c r="F47" t="s">
        <v>51</v>
      </c>
      <c r="G47" s="1">
        <v>43035</v>
      </c>
      <c r="I47" s="9">
        <f ca="1">DATEDIF(G47,IF(H47="",TODAY(),H47),"Y")+DATEDIF(G47,IF(H47="",TODAY(),H47),"Ym")/12</f>
        <v>8.8333333333333339</v>
      </c>
      <c r="J47" s="7" cm="1">
        <f t="array" aca="1" ref="J47" ca="1">IF(ISNUMBER(I47), I47, DAY (I47) + HOUR (I47)/24)</f>
        <v>8.8333333333333339</v>
      </c>
      <c r="K47" t="str">
        <f ca="1">IF(I47&lt;1,"0-1 yr", IF(I47&lt;3,"0-3 Yrs", IF(I47&lt;5, "3-5 yrs","5+Yrs")))</f>
        <v>5+Yrs</v>
      </c>
      <c r="L47" t="str">
        <f ca="1">IF(M47&lt;&gt;"Left","",IF(Z47&gt;20,"Work-Life Balance",IF(OR(X47&lt;=2,Y47&lt;=2),"Work Culture",IF(Q47&lt;AVERAGEIFS($Q$2:$Q$201,$E$2:$E$201,E47),"Better Salary",IF(IFERROR(DATEDIF(V47,IF(H47="",TODAY(),H47),"y"),0)&gt;=3,"Career Growth","Better Opportunity")))))</f>
        <v/>
      </c>
      <c r="M47" t="s">
        <v>27</v>
      </c>
      <c r="N47" t="s">
        <v>28</v>
      </c>
      <c r="O47">
        <f t="shared" si="2"/>
        <v>6.0333100000000002</v>
      </c>
      <c r="P47" t="str">
        <f t="shared" si="3"/>
        <v>6L-8L</v>
      </c>
      <c r="Q47">
        <v>603331</v>
      </c>
      <c r="R47">
        <v>4</v>
      </c>
      <c r="S47" t="s">
        <v>29</v>
      </c>
      <c r="T47" t="s">
        <v>43</v>
      </c>
      <c r="U47" t="s">
        <v>38</v>
      </c>
      <c r="V47" s="1">
        <v>45860</v>
      </c>
      <c r="W47">
        <v>8.84</v>
      </c>
      <c r="X47">
        <v>2</v>
      </c>
      <c r="Y47">
        <v>3</v>
      </c>
      <c r="Z47">
        <v>22</v>
      </c>
      <c r="AA47">
        <v>44</v>
      </c>
      <c r="AB47">
        <v>16</v>
      </c>
    </row>
    <row r="48" spans="1:28" x14ac:dyDescent="0.35">
      <c r="A48" t="s">
        <v>363</v>
      </c>
      <c r="B48" t="s">
        <v>364</v>
      </c>
      <c r="C48">
        <v>37</v>
      </c>
      <c r="D48" t="s">
        <v>41</v>
      </c>
      <c r="E48" t="s">
        <v>34</v>
      </c>
      <c r="F48" t="s">
        <v>51</v>
      </c>
      <c r="G48" s="1">
        <v>45055</v>
      </c>
      <c r="I48" s="9">
        <f ca="1">DATEDIF(G48,IF(H48="",TODAY(),H48),"Y")+DATEDIF(G48,IF(H48="",TODAY(),H48),"Ym")/12</f>
        <v>3.25</v>
      </c>
      <c r="J48" s="7" cm="1">
        <f t="array" aca="1" ref="J48" ca="1">IF(ISNUMBER(I48), I48, DAY (I48) + HOUR (I48)/24)</f>
        <v>3.25</v>
      </c>
      <c r="K48" t="str">
        <f ca="1">IF(I48&lt;1,"0-1 yr", IF(I48&lt;3,"0-3 Yrs", IF(I48&lt;5, "3-5 yrs","5+Yrs")))</f>
        <v>3-5 yrs</v>
      </c>
      <c r="L48" t="str">
        <f ca="1">IF(M48&lt;&gt;"Left","",IF(Z48&gt;20,"Work-Life Balance",IF(OR(X48&lt;=2,Y48&lt;=2),"Work Culture",IF(Q48&lt;AVERAGEIFS($Q$2:$Q$201,$E$2:$E$201,E48),"Better Salary",IF(IFERROR(DATEDIF(V48,IF(H48="",TODAY(),H48),"y"),0)&gt;=3,"Career Growth","Better Opportunity")))))</f>
        <v/>
      </c>
      <c r="M48" t="s">
        <v>27</v>
      </c>
      <c r="N48" t="s">
        <v>28</v>
      </c>
      <c r="O48">
        <f t="shared" si="2"/>
        <v>6.0608000000000004</v>
      </c>
      <c r="P48" t="str">
        <f t="shared" si="3"/>
        <v>6L-8L</v>
      </c>
      <c r="Q48">
        <v>606080</v>
      </c>
      <c r="R48">
        <v>5</v>
      </c>
      <c r="S48" t="s">
        <v>36</v>
      </c>
      <c r="T48" t="s">
        <v>43</v>
      </c>
      <c r="U48" t="s">
        <v>58</v>
      </c>
      <c r="V48" s="1">
        <v>46034</v>
      </c>
      <c r="W48">
        <v>3.31</v>
      </c>
      <c r="X48">
        <v>2</v>
      </c>
      <c r="Y48">
        <v>5</v>
      </c>
      <c r="Z48">
        <v>9</v>
      </c>
      <c r="AA48">
        <v>34</v>
      </c>
      <c r="AB48">
        <v>20</v>
      </c>
    </row>
    <row r="49" spans="1:28" x14ac:dyDescent="0.35">
      <c r="A49" t="s">
        <v>218</v>
      </c>
      <c r="B49" t="s">
        <v>219</v>
      </c>
      <c r="C49">
        <v>48</v>
      </c>
      <c r="D49" t="s">
        <v>24</v>
      </c>
      <c r="E49" t="s">
        <v>56</v>
      </c>
      <c r="F49" t="s">
        <v>57</v>
      </c>
      <c r="G49" s="1">
        <v>43558</v>
      </c>
      <c r="I49" s="9">
        <f ca="1">DATEDIF(G49,IF(H49="",TODAY(),H49),"Y")+DATEDIF(G49,IF(H49="",TODAY(),H49),"Ym")/12</f>
        <v>7.416666666666667</v>
      </c>
      <c r="J49" s="7" cm="1">
        <f t="array" aca="1" ref="J49" ca="1">IF(ISNUMBER(I49), I49, DAY (I49) + HOUR (I49)/24)</f>
        <v>7.416666666666667</v>
      </c>
      <c r="K49" t="str">
        <f ca="1">IF(I49&lt;1,"0-1 yr", IF(I49&lt;3,"0-3 Yrs", IF(I49&lt;5, "3-5 yrs","5+Yrs")))</f>
        <v>5+Yrs</v>
      </c>
      <c r="L49" t="str">
        <f ca="1">IF(M49&lt;&gt;"Left","",IF(Z49&gt;20,"Work-Life Balance",IF(OR(X49&lt;=2,Y49&lt;=2),"Work Culture",IF(Q49&lt;AVERAGEIFS($Q$2:$Q$201,$E$2:$E$201,E49),"Better Salary",IF(IFERROR(DATEDIF(V49,IF(H49="",TODAY(),H49),"y"),0)&gt;=3,"Career Growth","Better Opportunity")))))</f>
        <v/>
      </c>
      <c r="M49" t="s">
        <v>27</v>
      </c>
      <c r="N49" t="s">
        <v>28</v>
      </c>
      <c r="O49">
        <f t="shared" si="2"/>
        <v>6.0839699999999999</v>
      </c>
      <c r="P49" t="str">
        <f t="shared" si="3"/>
        <v>6L-8L</v>
      </c>
      <c r="Q49">
        <v>608397</v>
      </c>
      <c r="R49">
        <v>3</v>
      </c>
      <c r="S49" t="s">
        <v>48</v>
      </c>
      <c r="T49" t="s">
        <v>43</v>
      </c>
      <c r="U49" t="s">
        <v>31</v>
      </c>
      <c r="V49" s="1">
        <v>44559</v>
      </c>
      <c r="W49">
        <v>7.41</v>
      </c>
      <c r="X49">
        <v>3</v>
      </c>
      <c r="Y49">
        <v>5</v>
      </c>
      <c r="Z49">
        <v>3</v>
      </c>
      <c r="AA49">
        <v>40</v>
      </c>
      <c r="AB49">
        <v>27</v>
      </c>
    </row>
    <row r="50" spans="1:28" x14ac:dyDescent="0.35">
      <c r="A50" t="s">
        <v>226</v>
      </c>
      <c r="B50" t="s">
        <v>227</v>
      </c>
      <c r="C50">
        <v>41</v>
      </c>
      <c r="D50" t="s">
        <v>24</v>
      </c>
      <c r="E50" t="s">
        <v>56</v>
      </c>
      <c r="F50" t="s">
        <v>93</v>
      </c>
      <c r="G50" s="1">
        <v>43596</v>
      </c>
      <c r="I50" s="9">
        <f ca="1">DATEDIF(G50,IF(H50="",TODAY(),H50),"Y")+DATEDIF(G50,IF(H50="",TODAY(),H50),"Ym")/12</f>
        <v>7.25</v>
      </c>
      <c r="J50" s="7" cm="1">
        <f t="array" aca="1" ref="J50" ca="1">IF(ISNUMBER(I50), I50, DAY (I50) + HOUR (I50)/24)</f>
        <v>7.25</v>
      </c>
      <c r="K50" t="str">
        <f ca="1">IF(I50&lt;1,"0-1 yr", IF(I50&lt;3,"0-3 Yrs", IF(I50&lt;5, "3-5 yrs","5+Yrs")))</f>
        <v>5+Yrs</v>
      </c>
      <c r="L50" t="str">
        <f ca="1">IF(M50&lt;&gt;"Left","",IF(Z50&gt;20,"Work-Life Balance",IF(OR(X50&lt;=2,Y50&lt;=2),"Work Culture",IF(Q50&lt;AVERAGEIFS($Q$2:$Q$201,$E$2:$E$201,E50),"Better Salary",IF(IFERROR(DATEDIF(V50,IF(H50="",TODAY(),H50),"y"),0)&gt;=3,"Career Growth","Better Opportunity")))))</f>
        <v/>
      </c>
      <c r="M50" t="s">
        <v>27</v>
      </c>
      <c r="N50" t="s">
        <v>28</v>
      </c>
      <c r="O50">
        <f t="shared" si="2"/>
        <v>6.1058599999999998</v>
      </c>
      <c r="P50" t="str">
        <f t="shared" si="3"/>
        <v>6L-8L</v>
      </c>
      <c r="Q50">
        <v>610586</v>
      </c>
      <c r="R50">
        <v>4</v>
      </c>
      <c r="S50" t="s">
        <v>77</v>
      </c>
      <c r="T50" t="s">
        <v>37</v>
      </c>
      <c r="U50" t="s">
        <v>106</v>
      </c>
      <c r="W50">
        <v>7.3</v>
      </c>
      <c r="X50">
        <v>4</v>
      </c>
      <c r="Y50">
        <v>1</v>
      </c>
      <c r="Z50">
        <v>17</v>
      </c>
      <c r="AA50">
        <v>39</v>
      </c>
      <c r="AB50">
        <v>34</v>
      </c>
    </row>
    <row r="51" spans="1:28" x14ac:dyDescent="0.35">
      <c r="A51" t="s">
        <v>455</v>
      </c>
      <c r="B51" t="s">
        <v>456</v>
      </c>
      <c r="C51">
        <v>47</v>
      </c>
      <c r="D51" t="s">
        <v>41</v>
      </c>
      <c r="E51" t="s">
        <v>25</v>
      </c>
      <c r="F51" t="s">
        <v>234</v>
      </c>
      <c r="G51" s="1">
        <v>45810</v>
      </c>
      <c r="I51" s="9">
        <f ca="1">DATEDIF(G51,IF(H51="",TODAY(),H51),"Y")+DATEDIF(G51,IF(H51="",TODAY(),H51),"Ym")/12</f>
        <v>1.25</v>
      </c>
      <c r="J51" s="7" cm="1">
        <f t="array" aca="1" ref="J51" ca="1">IF(ISNUMBER(I51), I51, DAY (I51) + HOUR (I51)/24)</f>
        <v>1.25</v>
      </c>
      <c r="K51" t="str">
        <f ca="1">IF(I51&lt;1,"0-1 yr", IF(I51&lt;3,"0-3 Yrs", IF(I51&lt;5, "3-5 yrs","5+Yrs")))</f>
        <v>0-3 Yrs</v>
      </c>
      <c r="L51" t="str">
        <f ca="1">IF(M51&lt;&gt;"Left","",IF(Z51&gt;20,"Work-Life Balance",IF(OR(X51&lt;=2,Y51&lt;=2),"Work Culture",IF(Q51&lt;AVERAGEIFS($Q$2:$Q$201,$E$2:$E$201,E51),"Better Salary",IF(IFERROR(DATEDIF(V51,IF(H51="",TODAY(),H51),"y"),0)&gt;=3,"Career Growth","Better Opportunity")))))</f>
        <v/>
      </c>
      <c r="M51" t="s">
        <v>27</v>
      </c>
      <c r="N51" t="s">
        <v>28</v>
      </c>
      <c r="O51">
        <f t="shared" si="2"/>
        <v>6.1130599999999999</v>
      </c>
      <c r="P51" t="str">
        <f t="shared" si="3"/>
        <v>6L-8L</v>
      </c>
      <c r="Q51">
        <v>611306</v>
      </c>
      <c r="R51">
        <v>2</v>
      </c>
      <c r="S51" t="s">
        <v>48</v>
      </c>
      <c r="T51" t="s">
        <v>30</v>
      </c>
      <c r="U51" t="s">
        <v>44</v>
      </c>
      <c r="V51" s="1">
        <v>46254</v>
      </c>
      <c r="W51">
        <v>1.24</v>
      </c>
      <c r="X51">
        <v>2</v>
      </c>
      <c r="Y51">
        <v>5</v>
      </c>
      <c r="Z51">
        <v>13</v>
      </c>
      <c r="AA51">
        <v>31</v>
      </c>
      <c r="AB51">
        <v>10</v>
      </c>
    </row>
    <row r="52" spans="1:28" x14ac:dyDescent="0.35">
      <c r="A52" t="s">
        <v>220</v>
      </c>
      <c r="B52" t="s">
        <v>221</v>
      </c>
      <c r="C52">
        <v>23</v>
      </c>
      <c r="D52" t="s">
        <v>41</v>
      </c>
      <c r="E52" t="s">
        <v>25</v>
      </c>
      <c r="F52" t="s">
        <v>26</v>
      </c>
      <c r="G52" s="1">
        <v>43561</v>
      </c>
      <c r="H52" s="1">
        <v>44445</v>
      </c>
      <c r="I52" s="9">
        <f ca="1">DATEDIF(G52,IF(H52="",TODAY(),H52),"Y")+DATEDIF(G52,IF(H52="",TODAY(),H52),"Ym")/12</f>
        <v>2.4166666666666665</v>
      </c>
      <c r="J52" s="7" cm="1">
        <f t="array" aca="1" ref="J52" ca="1">IF(ISNUMBER(I52), I52, DAY (I52) + HOUR (I52)/24)</f>
        <v>2.4166666666666665</v>
      </c>
      <c r="K52" s="1" t="str">
        <f ca="1">IF(I52&lt;1,"0-1 yr", IF(I52&lt;3,"0-3 Yrs", IF(I52&lt;5, "3-5 yrs","5+Yrs")))</f>
        <v>0-3 Yrs</v>
      </c>
      <c r="L52" t="str">
        <f ca="1">IF(M52&lt;&gt;"Left","",IF(Z52&gt;20,"Work-Life Balance",IF(OR(X52&lt;=2,Y52&lt;=2),"Work Culture",IF(Q52&lt;AVERAGEIFS($Q$2:$Q$201,$E$2:$E$201,E52),"Better Salary",IF(IFERROR(DATEDIF(V52,IF(H52="",TODAY(),H52),"y"),0)&gt;=3,"Career Growth","Better Opportunity")))))</f>
        <v>Work Culture</v>
      </c>
      <c r="M52" t="s">
        <v>69</v>
      </c>
      <c r="N52" t="s">
        <v>70</v>
      </c>
      <c r="O52">
        <f t="shared" si="2"/>
        <v>6.1192200000000003</v>
      </c>
      <c r="P52" t="str">
        <f t="shared" si="3"/>
        <v>6L-8L</v>
      </c>
      <c r="Q52">
        <v>611922</v>
      </c>
      <c r="R52">
        <v>4</v>
      </c>
      <c r="S52" t="s">
        <v>52</v>
      </c>
      <c r="T52" t="s">
        <v>37</v>
      </c>
      <c r="U52" t="s">
        <v>38</v>
      </c>
      <c r="W52">
        <v>2.42</v>
      </c>
      <c r="X52">
        <v>4</v>
      </c>
      <c r="Y52">
        <v>1</v>
      </c>
      <c r="Z52">
        <v>5</v>
      </c>
      <c r="AA52">
        <v>6</v>
      </c>
      <c r="AB52">
        <v>22</v>
      </c>
    </row>
    <row r="53" spans="1:28" x14ac:dyDescent="0.35">
      <c r="A53" t="s">
        <v>431</v>
      </c>
      <c r="B53" t="s">
        <v>432</v>
      </c>
      <c r="C53">
        <v>53</v>
      </c>
      <c r="D53" t="s">
        <v>41</v>
      </c>
      <c r="E53" t="s">
        <v>25</v>
      </c>
      <c r="F53" t="s">
        <v>234</v>
      </c>
      <c r="G53" s="1">
        <v>45550</v>
      </c>
      <c r="I53" s="9">
        <f ca="1">DATEDIF(G53,IF(H53="",TODAY(),H53),"Y")+DATEDIF(G53,IF(H53="",TODAY(),H53),"Ym")/12</f>
        <v>1.9166666666666665</v>
      </c>
      <c r="J53" s="7" cm="1">
        <f t="array" aca="1" ref="J53" ca="1">IF(ISNUMBER(I53), I53, DAY (I53) + HOUR (I53)/24)</f>
        <v>1.9166666666666665</v>
      </c>
      <c r="K53" t="str">
        <f ca="1">IF(I53&lt;1,"0-1 yr", IF(I53&lt;3,"0-3 Yrs", IF(I53&lt;5, "3-5 yrs","5+Yrs")))</f>
        <v>0-3 Yrs</v>
      </c>
      <c r="L53" t="str">
        <f ca="1">IF(M53&lt;&gt;"Left","",IF(Z53&gt;20,"Work-Life Balance",IF(OR(X53&lt;=2,Y53&lt;=2),"Work Culture",IF(Q53&lt;AVERAGEIFS($Q$2:$Q$201,$E$2:$E$201,E53),"Better Salary",IF(IFERROR(DATEDIF(V53,IF(H53="",TODAY(),H53),"y"),0)&gt;=3,"Career Growth","Better Opportunity")))))</f>
        <v/>
      </c>
      <c r="M53" t="s">
        <v>27</v>
      </c>
      <c r="N53" t="s">
        <v>28</v>
      </c>
      <c r="O53">
        <f t="shared" si="2"/>
        <v>6.1288200000000002</v>
      </c>
      <c r="P53" t="str">
        <f t="shared" si="3"/>
        <v>6L-8L</v>
      </c>
      <c r="Q53">
        <v>612882</v>
      </c>
      <c r="R53">
        <v>1</v>
      </c>
      <c r="S53" t="s">
        <v>52</v>
      </c>
      <c r="T53" t="s">
        <v>43</v>
      </c>
      <c r="U53" t="s">
        <v>87</v>
      </c>
      <c r="V53" s="1">
        <v>46046</v>
      </c>
      <c r="W53">
        <v>1.95</v>
      </c>
      <c r="X53">
        <v>4</v>
      </c>
      <c r="Y53">
        <v>4</v>
      </c>
      <c r="Z53">
        <v>7</v>
      </c>
      <c r="AA53">
        <v>69</v>
      </c>
      <c r="AB53">
        <v>4</v>
      </c>
    </row>
    <row r="54" spans="1:28" x14ac:dyDescent="0.35">
      <c r="A54" t="s">
        <v>158</v>
      </c>
      <c r="B54" t="s">
        <v>159</v>
      </c>
      <c r="C54">
        <v>25</v>
      </c>
      <c r="D54" t="s">
        <v>41</v>
      </c>
      <c r="E54" t="s">
        <v>89</v>
      </c>
      <c r="F54" t="s">
        <v>101</v>
      </c>
      <c r="G54" s="1">
        <v>42995</v>
      </c>
      <c r="I54" s="9">
        <f ca="1">DATEDIF(G54,IF(H54="",TODAY(),H54),"Y")+DATEDIF(G54,IF(H54="",TODAY(),H54),"Ym")/12</f>
        <v>8.9166666666666661</v>
      </c>
      <c r="J54" s="7" cm="1">
        <f t="array" aca="1" ref="J54" ca="1">IF(ISNUMBER(I54), I54, DAY (I54) + HOUR (I54)/24)</f>
        <v>8.9166666666666661</v>
      </c>
      <c r="K54" t="str">
        <f ca="1">IF(I54&lt;1,"0-1 yr", IF(I54&lt;3,"0-3 Yrs", IF(I54&lt;5, "3-5 yrs","5+Yrs")))</f>
        <v>5+Yrs</v>
      </c>
      <c r="L54" t="str">
        <f ca="1">IF(M54&lt;&gt;"Left","",IF(Z54&gt;20,"Work-Life Balance",IF(OR(X54&lt;=2,Y54&lt;=2),"Work Culture",IF(Q54&lt;AVERAGEIFS($Q$2:$Q$201,$E$2:$E$201,E54),"Better Salary",IF(IFERROR(DATEDIF(V54,IF(H54="",TODAY(),H54),"y"),0)&gt;=3,"Career Growth","Better Opportunity")))))</f>
        <v/>
      </c>
      <c r="M54" t="s">
        <v>27</v>
      </c>
      <c r="N54" t="s">
        <v>28</v>
      </c>
      <c r="O54">
        <f t="shared" si="2"/>
        <v>6.14703</v>
      </c>
      <c r="P54" t="str">
        <f t="shared" si="3"/>
        <v>6L-8L</v>
      </c>
      <c r="Q54">
        <v>614703</v>
      </c>
      <c r="R54">
        <v>3</v>
      </c>
      <c r="S54" t="s">
        <v>66</v>
      </c>
      <c r="T54" t="s">
        <v>30</v>
      </c>
      <c r="U54" t="s">
        <v>31</v>
      </c>
      <c r="V54" s="1">
        <v>43691</v>
      </c>
      <c r="W54">
        <v>8.9499999999999993</v>
      </c>
      <c r="X54">
        <v>5</v>
      </c>
      <c r="Y54">
        <v>4</v>
      </c>
      <c r="Z54">
        <v>2</v>
      </c>
      <c r="AA54">
        <v>31</v>
      </c>
      <c r="AB54">
        <v>30</v>
      </c>
    </row>
    <row r="55" spans="1:28" x14ac:dyDescent="0.35">
      <c r="A55" t="s">
        <v>85</v>
      </c>
      <c r="B55" t="s">
        <v>86</v>
      </c>
      <c r="C55">
        <v>57</v>
      </c>
      <c r="D55" t="s">
        <v>24</v>
      </c>
      <c r="E55" t="s">
        <v>34</v>
      </c>
      <c r="F55" t="s">
        <v>47</v>
      </c>
      <c r="G55" s="1">
        <v>42314</v>
      </c>
      <c r="I55" s="9">
        <f ca="1">DATEDIF(G55,IF(H55="",TODAY(),H55),"Y")+DATEDIF(G55,IF(H55="",TODAY(),H55),"Ym")/12</f>
        <v>10.75</v>
      </c>
      <c r="J55" s="7" cm="1">
        <f t="array" aca="1" ref="J55" ca="1">IF(ISNUMBER(I55), I55, DAY (I55) + HOUR (I55)/24)</f>
        <v>10.75</v>
      </c>
      <c r="K55" t="str">
        <f ca="1">IF(I55&lt;1,"0-1 yr", IF(I55&lt;3,"0-3 Yrs", IF(I55&lt;5, "3-5 yrs","5+Yrs")))</f>
        <v>5+Yrs</v>
      </c>
      <c r="L55" t="str">
        <f ca="1">IF(M55&lt;&gt;"Left","",IF(Z55&gt;20,"Work-Life Balance",IF(OR(X55&lt;=2,Y55&lt;=2),"Work Culture",IF(Q55&lt;AVERAGEIFS($Q$2:$Q$201,$E$2:$E$201,E55),"Better Salary",IF(IFERROR(DATEDIF(V55,IF(H55="",TODAY(),H55),"y"),0)&gt;=3,"Career Growth","Better Opportunity")))))</f>
        <v/>
      </c>
      <c r="M55" t="s">
        <v>27</v>
      </c>
      <c r="N55" t="s">
        <v>28</v>
      </c>
      <c r="O55">
        <f t="shared" si="2"/>
        <v>6.1963100000000004</v>
      </c>
      <c r="P55" t="str">
        <f t="shared" si="3"/>
        <v>6L-8L</v>
      </c>
      <c r="Q55">
        <v>619631</v>
      </c>
      <c r="R55">
        <v>4</v>
      </c>
      <c r="S55" t="s">
        <v>73</v>
      </c>
      <c r="T55" t="s">
        <v>30</v>
      </c>
      <c r="U55" t="s">
        <v>87</v>
      </c>
      <c r="V55" s="1">
        <v>44725</v>
      </c>
      <c r="W55">
        <v>10.81</v>
      </c>
      <c r="X55">
        <v>4</v>
      </c>
      <c r="Y55">
        <v>3</v>
      </c>
      <c r="Z55">
        <v>0</v>
      </c>
      <c r="AA55">
        <v>51</v>
      </c>
      <c r="AB55">
        <v>6</v>
      </c>
    </row>
    <row r="56" spans="1:28" x14ac:dyDescent="0.35">
      <c r="A56" t="s">
        <v>399</v>
      </c>
      <c r="B56" t="s">
        <v>400</v>
      </c>
      <c r="C56">
        <v>51</v>
      </c>
      <c r="D56" t="s">
        <v>41</v>
      </c>
      <c r="E56" t="s">
        <v>56</v>
      </c>
      <c r="F56" t="s">
        <v>93</v>
      </c>
      <c r="G56" s="1">
        <v>45298</v>
      </c>
      <c r="I56" s="9">
        <f ca="1">DATEDIF(G56,IF(H56="",TODAY(),H56),"Y")+DATEDIF(G56,IF(H56="",TODAY(),H56),"Ym")/12</f>
        <v>2.5833333333333335</v>
      </c>
      <c r="J56" s="7" cm="1">
        <f t="array" aca="1" ref="J56" ca="1">IF(ISNUMBER(I56), I56, DAY (I56) + HOUR (I56)/24)</f>
        <v>2.5833333333333335</v>
      </c>
      <c r="K56" t="str">
        <f ca="1">IF(I56&lt;1,"0-1 yr", IF(I56&lt;3,"0-3 Yrs", IF(I56&lt;5, "3-5 yrs","5+Yrs")))</f>
        <v>0-3 Yrs</v>
      </c>
      <c r="L56" t="str">
        <f ca="1">IF(M56&lt;&gt;"Left","",IF(Z56&gt;20,"Work-Life Balance",IF(OR(X56&lt;=2,Y56&lt;=2),"Work Culture",IF(Q56&lt;AVERAGEIFS($Q$2:$Q$201,$E$2:$E$201,E56),"Better Salary",IF(IFERROR(DATEDIF(V56,IF(H56="",TODAY(),H56),"y"),0)&gt;=3,"Career Growth","Better Opportunity")))))</f>
        <v/>
      </c>
      <c r="M56" t="s">
        <v>27</v>
      </c>
      <c r="N56" t="s">
        <v>28</v>
      </c>
      <c r="O56">
        <f t="shared" si="2"/>
        <v>6.2295999999999996</v>
      </c>
      <c r="P56" t="str">
        <f t="shared" si="3"/>
        <v>6L-8L</v>
      </c>
      <c r="Q56">
        <v>622960</v>
      </c>
      <c r="R56">
        <v>3</v>
      </c>
      <c r="S56" t="s">
        <v>36</v>
      </c>
      <c r="T56" t="s">
        <v>30</v>
      </c>
      <c r="U56" t="s">
        <v>122</v>
      </c>
      <c r="V56" s="1">
        <v>46125</v>
      </c>
      <c r="W56">
        <v>2.64</v>
      </c>
      <c r="X56">
        <v>2</v>
      </c>
      <c r="Y56">
        <v>4</v>
      </c>
      <c r="Z56">
        <v>3</v>
      </c>
      <c r="AA56">
        <v>5</v>
      </c>
      <c r="AB56">
        <v>9</v>
      </c>
    </row>
    <row r="57" spans="1:28" x14ac:dyDescent="0.35">
      <c r="A57" t="s">
        <v>359</v>
      </c>
      <c r="B57" t="s">
        <v>360</v>
      </c>
      <c r="C57">
        <v>29</v>
      </c>
      <c r="D57" t="s">
        <v>24</v>
      </c>
      <c r="E57" t="s">
        <v>64</v>
      </c>
      <c r="F57" t="s">
        <v>83</v>
      </c>
      <c r="G57" s="1">
        <v>45034</v>
      </c>
      <c r="I57" s="9">
        <f ca="1">DATEDIF(G57,IF(H57="",TODAY(),H57),"Y")+DATEDIF(G57,IF(H57="",TODAY(),H57),"Ym")/12</f>
        <v>3.3333333333333335</v>
      </c>
      <c r="J57" s="7" cm="1">
        <f t="array" aca="1" ref="J57" ca="1">IF(ISNUMBER(I57), I57, DAY (I57) + HOUR (I57)/24)</f>
        <v>3.3333333333333335</v>
      </c>
      <c r="K57" t="str">
        <f ca="1">IF(I57&lt;1,"0-1 yr", IF(I57&lt;3,"0-3 Yrs", IF(I57&lt;5, "3-5 yrs","5+Yrs")))</f>
        <v>3-5 yrs</v>
      </c>
      <c r="L57" t="str">
        <f ca="1">IF(M57&lt;&gt;"Left","",IF(Z57&gt;20,"Work-Life Balance",IF(OR(X57&lt;=2,Y57&lt;=2),"Work Culture",IF(Q57&lt;AVERAGEIFS($Q$2:$Q$201,$E$2:$E$201,E57),"Better Salary",IF(IFERROR(DATEDIF(V57,IF(H57="",TODAY(),H57),"y"),0)&gt;=3,"Career Growth","Better Opportunity")))))</f>
        <v/>
      </c>
      <c r="M57" t="s">
        <v>27</v>
      </c>
      <c r="N57" t="s">
        <v>28</v>
      </c>
      <c r="O57">
        <f t="shared" si="2"/>
        <v>6.2345899999999999</v>
      </c>
      <c r="P57" t="str">
        <f t="shared" si="3"/>
        <v>6L-8L</v>
      </c>
      <c r="Q57">
        <v>623459</v>
      </c>
      <c r="R57">
        <v>3</v>
      </c>
      <c r="S57" t="s">
        <v>52</v>
      </c>
      <c r="T57" t="s">
        <v>30</v>
      </c>
      <c r="U57" t="s">
        <v>84</v>
      </c>
      <c r="V57" s="1">
        <v>45649</v>
      </c>
      <c r="W57">
        <v>3.37</v>
      </c>
      <c r="X57">
        <v>1</v>
      </c>
      <c r="Y57">
        <v>2</v>
      </c>
      <c r="Z57">
        <v>16</v>
      </c>
      <c r="AA57">
        <v>35</v>
      </c>
      <c r="AB57">
        <v>10</v>
      </c>
    </row>
    <row r="58" spans="1:28" x14ac:dyDescent="0.35">
      <c r="A58" t="s">
        <v>150</v>
      </c>
      <c r="B58" t="s">
        <v>151</v>
      </c>
      <c r="C58">
        <v>56</v>
      </c>
      <c r="D58" t="s">
        <v>41</v>
      </c>
      <c r="E58" t="s">
        <v>89</v>
      </c>
      <c r="F58" t="s">
        <v>152</v>
      </c>
      <c r="G58" s="1">
        <v>42908</v>
      </c>
      <c r="I58" s="9">
        <f ca="1">DATEDIF(G58,IF(H58="",TODAY(),H58),"Y")+DATEDIF(G58,IF(H58="",TODAY(),H58),"Ym")/12</f>
        <v>9.1666666666666661</v>
      </c>
      <c r="J58" s="7" cm="1">
        <f t="array" aca="1" ref="J58" ca="1">IF(ISNUMBER(I58), I58, DAY (I58) + HOUR (I58)/24)</f>
        <v>9.1666666666666661</v>
      </c>
      <c r="K58" t="str">
        <f ca="1">IF(I58&lt;1,"0-1 yr", IF(I58&lt;3,"0-3 Yrs", IF(I58&lt;5, "3-5 yrs","5+Yrs")))</f>
        <v>5+Yrs</v>
      </c>
      <c r="L58" t="str">
        <f ca="1">IF(M58&lt;&gt;"Left","",IF(Z58&gt;20,"Work-Life Balance",IF(OR(X58&lt;=2,Y58&lt;=2),"Work Culture",IF(Q58&lt;AVERAGEIFS($Q$2:$Q$201,$E$2:$E$201,E58),"Better Salary",IF(IFERROR(DATEDIF(V58,IF(H58="",TODAY(),H58),"y"),0)&gt;=3,"Career Growth","Better Opportunity")))))</f>
        <v/>
      </c>
      <c r="M58" t="s">
        <v>27</v>
      </c>
      <c r="N58" t="s">
        <v>28</v>
      </c>
      <c r="O58">
        <f t="shared" si="2"/>
        <v>6.2738199999999997</v>
      </c>
      <c r="P58" t="str">
        <f t="shared" si="3"/>
        <v>6L-8L</v>
      </c>
      <c r="Q58">
        <v>627382</v>
      </c>
      <c r="R58">
        <v>3</v>
      </c>
      <c r="S58" t="s">
        <v>29</v>
      </c>
      <c r="T58" t="s">
        <v>43</v>
      </c>
      <c r="U58" t="s">
        <v>84</v>
      </c>
      <c r="V58" s="1">
        <v>44442</v>
      </c>
      <c r="W58">
        <v>9.19</v>
      </c>
      <c r="X58">
        <v>3</v>
      </c>
      <c r="Y58">
        <v>3</v>
      </c>
      <c r="Z58">
        <v>19</v>
      </c>
      <c r="AA58">
        <v>57</v>
      </c>
      <c r="AB58">
        <v>24</v>
      </c>
    </row>
    <row r="59" spans="1:28" x14ac:dyDescent="0.35">
      <c r="A59" t="s">
        <v>349</v>
      </c>
      <c r="B59" t="s">
        <v>350</v>
      </c>
      <c r="C59">
        <v>23</v>
      </c>
      <c r="D59" t="s">
        <v>41</v>
      </c>
      <c r="E59" t="s">
        <v>64</v>
      </c>
      <c r="F59" t="s">
        <v>145</v>
      </c>
      <c r="G59" s="1">
        <v>44901</v>
      </c>
      <c r="H59" s="1">
        <v>45528</v>
      </c>
      <c r="I59" s="9">
        <f ca="1">DATEDIF(G59,IF(H59="",TODAY(),H59),"Y")+DATEDIF(G59,IF(H59="",TODAY(),H59),"Ym")/12</f>
        <v>1.6666666666666665</v>
      </c>
      <c r="J59" s="7" cm="1">
        <f t="array" aca="1" ref="J59" ca="1">IF(ISNUMBER(I59), I59, DAY (I59) + HOUR (I59)/24)</f>
        <v>1.6666666666666665</v>
      </c>
      <c r="K59" s="1" t="str">
        <f ca="1">IF(I59&lt;1,"0-1 yr", IF(I59&lt;3,"0-3 Yrs", IF(I59&lt;5, "3-5 yrs","5+Yrs")))</f>
        <v>0-3 Yrs</v>
      </c>
      <c r="L59" t="str">
        <f ca="1">IF(M59&lt;&gt;"Left","",IF(Z59&gt;20,"Work-Life Balance",IF(OR(X59&lt;=2,Y59&lt;=2),"Work Culture",IF(Q59&lt;AVERAGEIFS($Q$2:$Q$201,$E$2:$E$201,E59),"Better Salary",IF(IFERROR(DATEDIF(V59,IF(H59="",TODAY(),H59),"y"),0)&gt;=3,"Career Growth","Better Opportunity")))))</f>
        <v>Work-Life Balance</v>
      </c>
      <c r="M59" t="s">
        <v>69</v>
      </c>
      <c r="N59" t="s">
        <v>70</v>
      </c>
      <c r="O59">
        <f t="shared" si="2"/>
        <v>6.29298</v>
      </c>
      <c r="P59" t="str">
        <f t="shared" si="3"/>
        <v>6L-8L</v>
      </c>
      <c r="Q59">
        <v>629298</v>
      </c>
      <c r="R59">
        <v>3</v>
      </c>
      <c r="S59" t="s">
        <v>52</v>
      </c>
      <c r="T59" t="s">
        <v>30</v>
      </c>
      <c r="U59" t="s">
        <v>58</v>
      </c>
      <c r="V59" s="1">
        <v>46190</v>
      </c>
      <c r="W59">
        <v>1.72</v>
      </c>
      <c r="X59">
        <v>5</v>
      </c>
      <c r="Y59">
        <v>5</v>
      </c>
      <c r="Z59">
        <v>21</v>
      </c>
      <c r="AA59">
        <v>42</v>
      </c>
      <c r="AB59">
        <v>14</v>
      </c>
    </row>
    <row r="60" spans="1:28" x14ac:dyDescent="0.35">
      <c r="A60" t="s">
        <v>183</v>
      </c>
      <c r="B60" t="s">
        <v>184</v>
      </c>
      <c r="C60">
        <v>43</v>
      </c>
      <c r="D60" t="s">
        <v>24</v>
      </c>
      <c r="E60" t="s">
        <v>89</v>
      </c>
      <c r="F60" t="s">
        <v>152</v>
      </c>
      <c r="G60" s="1">
        <v>43241</v>
      </c>
      <c r="I60" s="9">
        <f ca="1">DATEDIF(G60,IF(H60="",TODAY(),H60),"Y")+DATEDIF(G60,IF(H60="",TODAY(),H60),"Ym")/12</f>
        <v>8.25</v>
      </c>
      <c r="J60" s="7" cm="1">
        <f t="array" aca="1" ref="J60" ca="1">IF(ISNUMBER(I60), I60, DAY (I60) + HOUR (I60)/24)</f>
        <v>8.25</v>
      </c>
      <c r="K60" t="str">
        <f ca="1">IF(I60&lt;1,"0-1 yr", IF(I60&lt;3,"0-3 Yrs", IF(I60&lt;5, "3-5 yrs","5+Yrs")))</f>
        <v>5+Yrs</v>
      </c>
      <c r="L60" t="str">
        <f ca="1">IF(M60&lt;&gt;"Left","",IF(Z60&gt;20,"Work-Life Balance",IF(OR(X60&lt;=2,Y60&lt;=2),"Work Culture",IF(Q60&lt;AVERAGEIFS($Q$2:$Q$201,$E$2:$E$201,E60),"Better Salary",IF(IFERROR(DATEDIF(V60,IF(H60="",TODAY(),H60),"y"),0)&gt;=3,"Career Growth","Better Opportunity")))))</f>
        <v/>
      </c>
      <c r="M60" t="s">
        <v>27</v>
      </c>
      <c r="N60" t="s">
        <v>28</v>
      </c>
      <c r="O60">
        <f t="shared" si="2"/>
        <v>6.3079799999999997</v>
      </c>
      <c r="P60" t="str">
        <f t="shared" si="3"/>
        <v>6L-8L</v>
      </c>
      <c r="Q60">
        <v>630798</v>
      </c>
      <c r="R60">
        <v>5</v>
      </c>
      <c r="S60" t="s">
        <v>73</v>
      </c>
      <c r="T60" t="s">
        <v>30</v>
      </c>
      <c r="U60" t="s">
        <v>58</v>
      </c>
      <c r="V60" s="1">
        <v>45234</v>
      </c>
      <c r="W60">
        <v>8.2799999999999994</v>
      </c>
      <c r="X60">
        <v>5</v>
      </c>
      <c r="Y60">
        <v>5</v>
      </c>
      <c r="Z60">
        <v>7</v>
      </c>
      <c r="AA60">
        <v>15</v>
      </c>
      <c r="AB60">
        <v>42</v>
      </c>
    </row>
    <row r="61" spans="1:28" x14ac:dyDescent="0.35">
      <c r="A61" t="s">
        <v>71</v>
      </c>
      <c r="B61" t="s">
        <v>72</v>
      </c>
      <c r="C61">
        <v>44</v>
      </c>
      <c r="D61" t="s">
        <v>41</v>
      </c>
      <c r="E61" t="s">
        <v>34</v>
      </c>
      <c r="F61" t="s">
        <v>47</v>
      </c>
      <c r="G61" s="1">
        <v>42123</v>
      </c>
      <c r="I61" s="9">
        <f ca="1">DATEDIF(G61,IF(H61="",TODAY(),H61),"Y")+DATEDIF(G61,IF(H61="",TODAY(),H61),"Ym")/12</f>
        <v>11.333333333333334</v>
      </c>
      <c r="J61" s="7" cm="1">
        <f t="array" aca="1" ref="J61" ca="1">IF(ISNUMBER(I61), I61, DAY (I61) + HOUR (I61)/24)</f>
        <v>11.333333333333334</v>
      </c>
      <c r="K61" t="str">
        <f ca="1">IF(I61&lt;1,"0-1 yr", IF(I61&lt;3,"0-3 Yrs", IF(I61&lt;5, "3-5 yrs","5+Yrs")))</f>
        <v>5+Yrs</v>
      </c>
      <c r="L61" t="str">
        <f ca="1">IF(M61&lt;&gt;"Left","",IF(Z61&gt;20,"Work-Life Balance",IF(OR(X61&lt;=2,Y61&lt;=2),"Work Culture",IF(Q61&lt;AVERAGEIFS($Q$2:$Q$201,$E$2:$E$201,E61),"Better Salary",IF(IFERROR(DATEDIF(V61,IF(H61="",TODAY(),H61),"y"),0)&gt;=3,"Career Growth","Better Opportunity")))))</f>
        <v/>
      </c>
      <c r="M61" t="s">
        <v>27</v>
      </c>
      <c r="N61" t="s">
        <v>28</v>
      </c>
      <c r="O61">
        <f t="shared" si="2"/>
        <v>6.3175299999999996</v>
      </c>
      <c r="P61" t="str">
        <f t="shared" si="3"/>
        <v>6L-8L</v>
      </c>
      <c r="Q61">
        <v>631753</v>
      </c>
      <c r="R61">
        <v>4</v>
      </c>
      <c r="S61" t="s">
        <v>73</v>
      </c>
      <c r="T61" t="s">
        <v>37</v>
      </c>
      <c r="U61" t="s">
        <v>58</v>
      </c>
      <c r="V61" s="1">
        <v>43071</v>
      </c>
      <c r="W61">
        <v>11.34</v>
      </c>
      <c r="X61">
        <v>5</v>
      </c>
      <c r="Y61">
        <v>4</v>
      </c>
      <c r="Z61">
        <v>18</v>
      </c>
      <c r="AA61">
        <v>29</v>
      </c>
      <c r="AB61">
        <v>23</v>
      </c>
    </row>
    <row r="62" spans="1:28" x14ac:dyDescent="0.35">
      <c r="A62" t="s">
        <v>241</v>
      </c>
      <c r="B62" t="s">
        <v>242</v>
      </c>
      <c r="C62">
        <v>22</v>
      </c>
      <c r="D62" t="s">
        <v>24</v>
      </c>
      <c r="E62" t="s">
        <v>89</v>
      </c>
      <c r="F62" t="s">
        <v>90</v>
      </c>
      <c r="G62" s="1">
        <v>43733</v>
      </c>
      <c r="H62" s="1">
        <v>44860</v>
      </c>
      <c r="I62" s="9">
        <f ca="1">DATEDIF(G62,IF(H62="",TODAY(),H62),"Y")+DATEDIF(G62,IF(H62="",TODAY(),H62),"Ym")/12</f>
        <v>3.0833333333333335</v>
      </c>
      <c r="J62" s="7" cm="1">
        <f t="array" aca="1" ref="J62" ca="1">IF(ISNUMBER(I62), I62, DAY (I62) + HOUR (I62)/24)</f>
        <v>3.0833333333333335</v>
      </c>
      <c r="K62" s="1" t="str">
        <f ca="1">IF(I62&lt;1,"0-1 yr", IF(I62&lt;3,"0-3 Yrs", IF(I62&lt;5, "3-5 yrs","5+Yrs")))</f>
        <v>3-5 yrs</v>
      </c>
      <c r="L62" t="str">
        <f ca="1">IF(M62&lt;&gt;"Left","",IF(Z62&gt;20,"Work-Life Balance",IF(OR(X62&lt;=2,Y62&lt;=2),"Work Culture",IF(Q62&lt;AVERAGEIFS($Q$2:$Q$201,$E$2:$E$201,E62),"Better Salary",IF(IFERROR(DATEDIF(V62,IF(H62="",TODAY(),H62),"y"),0)&gt;=3,"Career Growth","Better Opportunity")))))</f>
        <v>Work Culture</v>
      </c>
      <c r="M62" t="s">
        <v>69</v>
      </c>
      <c r="N62" t="s">
        <v>70</v>
      </c>
      <c r="O62">
        <f t="shared" si="2"/>
        <v>6.3195699999999997</v>
      </c>
      <c r="P62" t="str">
        <f t="shared" si="3"/>
        <v>6L-8L</v>
      </c>
      <c r="Q62">
        <v>631957</v>
      </c>
      <c r="R62">
        <v>3</v>
      </c>
      <c r="S62" t="s">
        <v>52</v>
      </c>
      <c r="T62" t="s">
        <v>37</v>
      </c>
      <c r="U62" t="s">
        <v>38</v>
      </c>
      <c r="W62">
        <v>3.09</v>
      </c>
      <c r="X62">
        <v>1</v>
      </c>
      <c r="Y62">
        <v>5</v>
      </c>
      <c r="Z62">
        <v>10</v>
      </c>
      <c r="AA62">
        <v>12</v>
      </c>
      <c r="AB62">
        <v>36</v>
      </c>
    </row>
    <row r="63" spans="1:28" x14ac:dyDescent="0.35">
      <c r="A63" t="s">
        <v>267</v>
      </c>
      <c r="B63" t="s">
        <v>268</v>
      </c>
      <c r="C63">
        <v>36</v>
      </c>
      <c r="D63" t="s">
        <v>41</v>
      </c>
      <c r="E63" t="s">
        <v>64</v>
      </c>
      <c r="F63" t="s">
        <v>145</v>
      </c>
      <c r="G63" s="1">
        <v>44088</v>
      </c>
      <c r="H63" s="1">
        <v>44679</v>
      </c>
      <c r="I63" s="9">
        <f ca="1">DATEDIF(G63,IF(H63="",TODAY(),H63),"Y")+DATEDIF(G63,IF(H63="",TODAY(),H63),"Ym")/12</f>
        <v>1.5833333333333335</v>
      </c>
      <c r="J63" s="7" cm="1">
        <f t="array" aca="1" ref="J63" ca="1">IF(ISNUMBER(I63), I63, DAY (I63) + HOUR (I63)/24)</f>
        <v>1.5833333333333335</v>
      </c>
      <c r="K63" s="1" t="str">
        <f ca="1">IF(I63&lt;1,"0-1 yr", IF(I63&lt;3,"0-3 Yrs", IF(I63&lt;5, "3-5 yrs","5+Yrs")))</f>
        <v>0-3 Yrs</v>
      </c>
      <c r="L63" t="str">
        <f ca="1">IF(M63&lt;&gt;"Left","",IF(Z63&gt;20,"Work-Life Balance",IF(OR(X63&lt;=2,Y63&lt;=2),"Work Culture",IF(Q63&lt;AVERAGEIFS($Q$2:$Q$201,$E$2:$E$201,E63),"Better Salary",IF(IFERROR(DATEDIF(V63,IF(H63="",TODAY(),H63),"y"),0)&gt;=3,"Career Growth","Better Opportunity")))))</f>
        <v>Better Salary</v>
      </c>
      <c r="M63" t="s">
        <v>69</v>
      </c>
      <c r="N63" t="s">
        <v>70</v>
      </c>
      <c r="O63">
        <f t="shared" si="2"/>
        <v>6.3310300000000002</v>
      </c>
      <c r="P63" t="str">
        <f t="shared" si="3"/>
        <v>6L-8L</v>
      </c>
      <c r="Q63">
        <v>633103</v>
      </c>
      <c r="R63">
        <v>4</v>
      </c>
      <c r="S63" t="s">
        <v>66</v>
      </c>
      <c r="T63" t="s">
        <v>30</v>
      </c>
      <c r="U63" t="s">
        <v>44</v>
      </c>
      <c r="V63" s="1">
        <v>45399</v>
      </c>
      <c r="W63">
        <v>1.62</v>
      </c>
      <c r="X63">
        <v>5</v>
      </c>
      <c r="Y63">
        <v>3</v>
      </c>
      <c r="Z63">
        <v>13</v>
      </c>
      <c r="AA63">
        <v>70</v>
      </c>
      <c r="AB63">
        <v>12</v>
      </c>
    </row>
    <row r="64" spans="1:28" x14ac:dyDescent="0.35">
      <c r="A64" t="s">
        <v>426</v>
      </c>
      <c r="B64" t="s">
        <v>95</v>
      </c>
      <c r="C64">
        <v>35</v>
      </c>
      <c r="D64" t="s">
        <v>24</v>
      </c>
      <c r="E64" t="s">
        <v>89</v>
      </c>
      <c r="F64" t="s">
        <v>90</v>
      </c>
      <c r="G64" s="1">
        <v>45483</v>
      </c>
      <c r="H64" s="1">
        <v>45810</v>
      </c>
      <c r="I64" s="9">
        <f ca="1">DATEDIF(G64,IF(H64="",TODAY(),H64),"Y")+DATEDIF(G64,IF(H64="",TODAY(),H64),"Ym")/12</f>
        <v>0.83333333333333337</v>
      </c>
      <c r="J64" s="7" cm="1">
        <f t="array" aca="1" ref="J64" ca="1">IF(ISNUMBER(I64), I64, DAY (I64) + HOUR (I64)/24)</f>
        <v>0.83333333333333337</v>
      </c>
      <c r="K64" s="1" t="str">
        <f ca="1">IF(I64&lt;1,"0-1 yr", IF(I64&lt;3,"0-3 Yrs", IF(I64&lt;5, "3-5 yrs","5+Yrs")))</f>
        <v>0-1 yr</v>
      </c>
      <c r="L64" t="str">
        <f ca="1">IF(M64&lt;&gt;"Left","",IF(Z64&gt;20,"Work-Life Balance",IF(OR(X64&lt;=2,Y64&lt;=2),"Work Culture",IF(Q64&lt;AVERAGEIFS($Q$2:$Q$201,$E$2:$E$201,E64),"Better Salary",IF(IFERROR(DATEDIF(V64,IF(H64="",TODAY(),H64),"y"),0)&gt;=3,"Career Growth","Better Opportunity")))))</f>
        <v>Work-Life Balance</v>
      </c>
      <c r="M64" t="s">
        <v>69</v>
      </c>
      <c r="N64" t="s">
        <v>70</v>
      </c>
      <c r="O64">
        <f t="shared" si="2"/>
        <v>6.3676899999999996</v>
      </c>
      <c r="P64" t="str">
        <f t="shared" si="3"/>
        <v>6L-8L</v>
      </c>
      <c r="Q64">
        <v>636769</v>
      </c>
      <c r="R64">
        <v>4</v>
      </c>
      <c r="S64" t="s">
        <v>77</v>
      </c>
      <c r="T64" t="s">
        <v>43</v>
      </c>
      <c r="U64" t="s">
        <v>44</v>
      </c>
      <c r="W64">
        <v>0.9</v>
      </c>
      <c r="X64">
        <v>5</v>
      </c>
      <c r="Y64">
        <v>2</v>
      </c>
      <c r="Z64">
        <v>24</v>
      </c>
      <c r="AA64">
        <v>46</v>
      </c>
      <c r="AB64">
        <v>26</v>
      </c>
    </row>
    <row r="65" spans="1:28" x14ac:dyDescent="0.35">
      <c r="A65" t="s">
        <v>230</v>
      </c>
      <c r="B65" t="s">
        <v>231</v>
      </c>
      <c r="C65">
        <v>37</v>
      </c>
      <c r="D65" t="s">
        <v>24</v>
      </c>
      <c r="E65" t="s">
        <v>34</v>
      </c>
      <c r="F65" t="s">
        <v>51</v>
      </c>
      <c r="G65" s="1">
        <v>43697</v>
      </c>
      <c r="H65" s="1">
        <v>44938</v>
      </c>
      <c r="I65" s="9">
        <f ca="1">DATEDIF(G65,IF(H65="",TODAY(),H65),"Y")+DATEDIF(G65,IF(H65="",TODAY(),H65),"Ym")/12</f>
        <v>3.3333333333333335</v>
      </c>
      <c r="J65" s="7" cm="1">
        <f t="array" aca="1" ref="J65" ca="1">IF(ISNUMBER(I65), I65, DAY (I65) + HOUR (I65)/24)</f>
        <v>3.3333333333333335</v>
      </c>
      <c r="K65" s="1" t="str">
        <f ca="1">IF(I65&lt;1,"0-1 yr", IF(I65&lt;3,"0-3 Yrs", IF(I65&lt;5, "3-5 yrs","5+Yrs")))</f>
        <v>3-5 yrs</v>
      </c>
      <c r="L65" t="str">
        <f ca="1">IF(M65&lt;&gt;"Left","",IF(Z65&gt;20,"Work-Life Balance",IF(OR(X65&lt;=2,Y65&lt;=2),"Work Culture",IF(Q65&lt;AVERAGEIFS($Q$2:$Q$201,$E$2:$E$201,E65),"Better Salary",IF(IFERROR(DATEDIF(V65,IF(H65="",TODAY(),H65),"y"),0)&gt;=3,"Career Growth","Better Opportunity")))))</f>
        <v>Better Salary</v>
      </c>
      <c r="M65" t="s">
        <v>69</v>
      </c>
      <c r="N65" t="s">
        <v>70</v>
      </c>
      <c r="O65">
        <f t="shared" si="2"/>
        <v>6.3778199999999998</v>
      </c>
      <c r="P65" t="str">
        <f t="shared" si="3"/>
        <v>6L-8L</v>
      </c>
      <c r="Q65">
        <v>637782</v>
      </c>
      <c r="R65">
        <v>3</v>
      </c>
      <c r="S65" t="s">
        <v>52</v>
      </c>
      <c r="T65" t="s">
        <v>30</v>
      </c>
      <c r="U65" t="s">
        <v>53</v>
      </c>
      <c r="W65">
        <v>3.4</v>
      </c>
      <c r="X65">
        <v>3</v>
      </c>
      <c r="Y65">
        <v>5</v>
      </c>
      <c r="Z65">
        <v>14</v>
      </c>
      <c r="AA65">
        <v>70</v>
      </c>
      <c r="AB65">
        <v>33</v>
      </c>
    </row>
    <row r="66" spans="1:28" x14ac:dyDescent="0.35">
      <c r="A66" t="s">
        <v>402</v>
      </c>
      <c r="B66" t="s">
        <v>403</v>
      </c>
      <c r="C66">
        <v>53</v>
      </c>
      <c r="D66" t="s">
        <v>41</v>
      </c>
      <c r="E66" t="s">
        <v>34</v>
      </c>
      <c r="F66" t="s">
        <v>51</v>
      </c>
      <c r="G66" s="1">
        <v>45330</v>
      </c>
      <c r="H66" s="1">
        <v>45571</v>
      </c>
      <c r="I66" s="9">
        <f ca="1">DATEDIF(G66,IF(H66="",TODAY(),H66),"Y")+DATEDIF(G66,IF(H66="",TODAY(),H66),"Ym")/12</f>
        <v>0.58333333333333337</v>
      </c>
      <c r="J66" s="7" cm="1">
        <f t="array" aca="1" ref="J66" ca="1">IF(ISNUMBER(I66), I66, DAY (I66) + HOUR (I66)/24)</f>
        <v>0.58333333333333337</v>
      </c>
      <c r="K66" s="1" t="str">
        <f ca="1">IF(I66&lt;1,"0-1 yr", IF(I66&lt;3,"0-3 Yrs", IF(I66&lt;5, "3-5 yrs","5+Yrs")))</f>
        <v>0-1 yr</v>
      </c>
      <c r="L66" t="str">
        <f ca="1">IF(M66&lt;&gt;"Left","",IF(Z66&gt;20,"Work-Life Balance",IF(OR(X66&lt;=2,Y66&lt;=2),"Work Culture",IF(Q66&lt;AVERAGEIFS($Q$2:$Q$201,$E$2:$E$201,E66),"Better Salary",IF(IFERROR(DATEDIF(V66,IF(H66="",TODAY(),H66),"y"),0)&gt;=3,"Career Growth","Better Opportunity")))))</f>
        <v>Work Culture</v>
      </c>
      <c r="M66" t="s">
        <v>69</v>
      </c>
      <c r="N66" t="s">
        <v>70</v>
      </c>
      <c r="O66">
        <f t="shared" ref="O66:O97" si="4">Q66*1/100000</f>
        <v>6.4331500000000004</v>
      </c>
      <c r="P66" t="str">
        <f t="shared" ref="P66:P97" si="5">IF(Q66*1&lt;600000,"3L-6L",IF(Q66*1&lt;800000,"6L-8L",IF(Q66*1&lt;1000000,"8L-10L",IF(Q66*1&lt;1200000,"10L-12L",IF(Q66*1&lt;1500000,"12L-15L",IF(Q66*1&lt;2000000,"15L-20L","20L-30L"))))))</f>
        <v>6L-8L</v>
      </c>
      <c r="Q66">
        <v>643315</v>
      </c>
      <c r="R66">
        <v>3</v>
      </c>
      <c r="S66" t="s">
        <v>48</v>
      </c>
      <c r="T66" t="s">
        <v>43</v>
      </c>
      <c r="U66" t="s">
        <v>122</v>
      </c>
      <c r="V66" s="1">
        <v>45967</v>
      </c>
      <c r="W66">
        <v>0.66</v>
      </c>
      <c r="X66">
        <v>4</v>
      </c>
      <c r="Y66">
        <v>1</v>
      </c>
      <c r="Z66">
        <v>16</v>
      </c>
      <c r="AA66">
        <v>59</v>
      </c>
      <c r="AB66">
        <v>14</v>
      </c>
    </row>
    <row r="67" spans="1:28" x14ac:dyDescent="0.35">
      <c r="A67" t="s">
        <v>429</v>
      </c>
      <c r="B67" t="s">
        <v>430</v>
      </c>
      <c r="C67">
        <v>30</v>
      </c>
      <c r="D67" t="s">
        <v>41</v>
      </c>
      <c r="E67" t="s">
        <v>34</v>
      </c>
      <c r="F67" t="s">
        <v>51</v>
      </c>
      <c r="G67" s="1">
        <v>45496</v>
      </c>
      <c r="I67" s="9">
        <f ca="1">DATEDIF(G67,IF(H67="",TODAY(),H67),"Y")+DATEDIF(G67,IF(H67="",TODAY(),H67),"Ym")/12</f>
        <v>2.0833333333333335</v>
      </c>
      <c r="J67" s="7" cm="1">
        <f t="array" aca="1" ref="J67" ca="1">IF(ISNUMBER(I67), I67, DAY (I67) + HOUR (I67)/24)</f>
        <v>2.0833333333333335</v>
      </c>
      <c r="K67" t="str">
        <f ca="1">IF(I67&lt;1,"0-1 yr", IF(I67&lt;3,"0-3 Yrs", IF(I67&lt;5, "3-5 yrs","5+Yrs")))</f>
        <v>0-3 Yrs</v>
      </c>
      <c r="L67" t="str">
        <f ca="1">IF(M67&lt;&gt;"Left","",IF(Z67&gt;20,"Work-Life Balance",IF(OR(X67&lt;=2,Y67&lt;=2),"Work Culture",IF(Q67&lt;AVERAGEIFS($Q$2:$Q$201,$E$2:$E$201,E67),"Better Salary",IF(IFERROR(DATEDIF(V67,IF(H67="",TODAY(),H67),"y"),0)&gt;=3,"Career Growth","Better Opportunity")))))</f>
        <v/>
      </c>
      <c r="M67" t="s">
        <v>27</v>
      </c>
      <c r="N67" t="s">
        <v>28</v>
      </c>
      <c r="O67">
        <f t="shared" si="4"/>
        <v>6.4898400000000001</v>
      </c>
      <c r="P67" t="str">
        <f t="shared" si="5"/>
        <v>6L-8L</v>
      </c>
      <c r="Q67">
        <v>648984</v>
      </c>
      <c r="R67">
        <v>3</v>
      </c>
      <c r="S67" t="s">
        <v>52</v>
      </c>
      <c r="T67" t="s">
        <v>37</v>
      </c>
      <c r="U67" t="s">
        <v>58</v>
      </c>
      <c r="W67">
        <v>2.1</v>
      </c>
      <c r="X67">
        <v>5</v>
      </c>
      <c r="Y67">
        <v>1</v>
      </c>
      <c r="Z67">
        <v>0</v>
      </c>
      <c r="AA67">
        <v>62</v>
      </c>
      <c r="AB67">
        <v>2</v>
      </c>
    </row>
    <row r="68" spans="1:28" x14ac:dyDescent="0.35">
      <c r="A68" t="s">
        <v>62</v>
      </c>
      <c r="B68" t="s">
        <v>63</v>
      </c>
      <c r="C68">
        <v>42</v>
      </c>
      <c r="D68" t="s">
        <v>41</v>
      </c>
      <c r="E68" t="s">
        <v>64</v>
      </c>
      <c r="F68" t="s">
        <v>65</v>
      </c>
      <c r="G68" s="1">
        <v>42091</v>
      </c>
      <c r="I68" s="9">
        <f ca="1">DATEDIF(G68,IF(H68="",TODAY(),H68),"Y")+DATEDIF(G68,IF(H68="",TODAY(),H68),"Ym")/12</f>
        <v>11.416666666666666</v>
      </c>
      <c r="J68" s="7" cm="1">
        <f t="array" aca="1" ref="J68" ca="1">IF(ISNUMBER(I68), I68, DAY (I68) + HOUR (I68)/24)</f>
        <v>11.416666666666666</v>
      </c>
      <c r="K68" t="str">
        <f ca="1">IF(I68&lt;1,"0-1 yr", IF(I68&lt;3,"0-3 Yrs", IF(I68&lt;5, "3-5 yrs","5+Yrs")))</f>
        <v>5+Yrs</v>
      </c>
      <c r="L68" t="str">
        <f ca="1">IF(M68&lt;&gt;"Left","",IF(Z68&gt;20,"Work-Life Balance",IF(OR(X68&lt;=2,Y68&lt;=2),"Work Culture",IF(Q68&lt;AVERAGEIFS($Q$2:$Q$201,$E$2:$E$201,E68),"Better Salary",IF(IFERROR(DATEDIF(V68,IF(H68="",TODAY(),H68),"y"),0)&gt;=3,"Career Growth","Better Opportunity")))))</f>
        <v/>
      </c>
      <c r="M68" t="s">
        <v>27</v>
      </c>
      <c r="N68" t="s">
        <v>28</v>
      </c>
      <c r="O68">
        <f t="shared" si="4"/>
        <v>6.5987099999999996</v>
      </c>
      <c r="P68" t="str">
        <f t="shared" si="5"/>
        <v>6L-8L</v>
      </c>
      <c r="Q68">
        <v>659871</v>
      </c>
      <c r="R68">
        <v>3</v>
      </c>
      <c r="S68" t="s">
        <v>66</v>
      </c>
      <c r="T68" t="s">
        <v>43</v>
      </c>
      <c r="U68" t="s">
        <v>38</v>
      </c>
      <c r="V68" s="1">
        <v>42681</v>
      </c>
      <c r="W68">
        <v>11.43</v>
      </c>
      <c r="X68">
        <v>1</v>
      </c>
      <c r="Y68">
        <v>3</v>
      </c>
      <c r="Z68">
        <v>17</v>
      </c>
      <c r="AA68">
        <v>57</v>
      </c>
      <c r="AB68">
        <v>25</v>
      </c>
    </row>
    <row r="69" spans="1:28" x14ac:dyDescent="0.35">
      <c r="A69" t="s">
        <v>191</v>
      </c>
      <c r="B69" t="s">
        <v>192</v>
      </c>
      <c r="C69">
        <v>28</v>
      </c>
      <c r="D69" t="s">
        <v>24</v>
      </c>
      <c r="E69" t="s">
        <v>25</v>
      </c>
      <c r="F69" t="s">
        <v>26</v>
      </c>
      <c r="G69" s="1">
        <v>43355</v>
      </c>
      <c r="I69" s="9">
        <f ca="1">DATEDIF(G69,IF(H69="",TODAY(),H69),"Y")+DATEDIF(G69,IF(H69="",TODAY(),H69),"Ym")/12</f>
        <v>7.916666666666667</v>
      </c>
      <c r="J69" s="7" cm="1">
        <f t="array" aca="1" ref="J69" ca="1">IF(ISNUMBER(I69), I69, DAY (I69) + HOUR (I69)/24)</f>
        <v>7.916666666666667</v>
      </c>
      <c r="K69" t="str">
        <f ca="1">IF(I69&lt;1,"0-1 yr", IF(I69&lt;3,"0-3 Yrs", IF(I69&lt;5, "3-5 yrs","5+Yrs")))</f>
        <v>5+Yrs</v>
      </c>
      <c r="L69" t="str">
        <f ca="1">IF(M69&lt;&gt;"Left","",IF(Z69&gt;20,"Work-Life Balance",IF(OR(X69&lt;=2,Y69&lt;=2),"Work Culture",IF(Q69&lt;AVERAGEIFS($Q$2:$Q$201,$E$2:$E$201,E69),"Better Salary",IF(IFERROR(DATEDIF(V69,IF(H69="",TODAY(),H69),"y"),0)&gt;=3,"Career Growth","Better Opportunity")))))</f>
        <v/>
      </c>
      <c r="M69" t="s">
        <v>27</v>
      </c>
      <c r="N69" t="s">
        <v>28</v>
      </c>
      <c r="O69">
        <f t="shared" si="4"/>
        <v>6.5992899999999999</v>
      </c>
      <c r="P69" t="str">
        <f t="shared" si="5"/>
        <v>6L-8L</v>
      </c>
      <c r="Q69">
        <v>659929</v>
      </c>
      <c r="R69">
        <v>3</v>
      </c>
      <c r="S69" t="s">
        <v>66</v>
      </c>
      <c r="T69" t="s">
        <v>43</v>
      </c>
      <c r="U69" t="s">
        <v>38</v>
      </c>
      <c r="V69" s="1">
        <v>45295</v>
      </c>
      <c r="W69">
        <v>7.96</v>
      </c>
      <c r="X69">
        <v>3</v>
      </c>
      <c r="Y69">
        <v>3</v>
      </c>
      <c r="Z69">
        <v>19</v>
      </c>
      <c r="AA69">
        <v>69</v>
      </c>
      <c r="AB69">
        <v>9</v>
      </c>
    </row>
    <row r="70" spans="1:28" x14ac:dyDescent="0.35">
      <c r="A70" t="s">
        <v>323</v>
      </c>
      <c r="B70" t="s">
        <v>324</v>
      </c>
      <c r="C70">
        <v>56</v>
      </c>
      <c r="D70" t="s">
        <v>24</v>
      </c>
      <c r="E70" t="s">
        <v>56</v>
      </c>
      <c r="F70" t="s">
        <v>57</v>
      </c>
      <c r="G70" s="1">
        <v>44697</v>
      </c>
      <c r="I70" s="9">
        <f ca="1">DATEDIF(G70,IF(H70="",TODAY(),H70),"Y")+DATEDIF(G70,IF(H70="",TODAY(),H70),"Ym")/12</f>
        <v>4.25</v>
      </c>
      <c r="J70" s="7" cm="1">
        <f t="array" aca="1" ref="J70" ca="1">IF(ISNUMBER(I70), I70, DAY (I70) + HOUR (I70)/24)</f>
        <v>4.25</v>
      </c>
      <c r="K70" t="str">
        <f ca="1">IF(I70&lt;1,"0-1 yr", IF(I70&lt;3,"0-3 Yrs", IF(I70&lt;5, "3-5 yrs","5+Yrs")))</f>
        <v>3-5 yrs</v>
      </c>
      <c r="L70" t="str">
        <f ca="1">IF(M70&lt;&gt;"Left","",IF(Z70&gt;20,"Work-Life Balance",IF(OR(X70&lt;=2,Y70&lt;=2),"Work Culture",IF(Q70&lt;AVERAGEIFS($Q$2:$Q$201,$E$2:$E$201,E70),"Better Salary",IF(IFERROR(DATEDIF(V70,IF(H70="",TODAY(),H70),"y"),0)&gt;=3,"Career Growth","Better Opportunity")))))</f>
        <v/>
      </c>
      <c r="M70" t="s">
        <v>27</v>
      </c>
      <c r="N70" t="s">
        <v>28</v>
      </c>
      <c r="O70">
        <f t="shared" si="4"/>
        <v>6.6015100000000002</v>
      </c>
      <c r="P70" t="str">
        <f t="shared" si="5"/>
        <v>6L-8L</v>
      </c>
      <c r="Q70">
        <v>660151</v>
      </c>
      <c r="R70">
        <v>3</v>
      </c>
      <c r="S70" t="s">
        <v>29</v>
      </c>
      <c r="T70" t="s">
        <v>30</v>
      </c>
      <c r="U70" t="s">
        <v>53</v>
      </c>
      <c r="W70">
        <v>4.29</v>
      </c>
      <c r="X70">
        <v>3</v>
      </c>
      <c r="Y70">
        <v>4</v>
      </c>
      <c r="Z70">
        <v>2</v>
      </c>
      <c r="AA70">
        <v>5</v>
      </c>
      <c r="AB70">
        <v>6</v>
      </c>
    </row>
    <row r="71" spans="1:28" x14ac:dyDescent="0.35">
      <c r="A71" t="s">
        <v>99</v>
      </c>
      <c r="B71" t="s">
        <v>100</v>
      </c>
      <c r="C71">
        <v>47</v>
      </c>
      <c r="D71" t="s">
        <v>24</v>
      </c>
      <c r="E71" t="s">
        <v>89</v>
      </c>
      <c r="F71" t="s">
        <v>101</v>
      </c>
      <c r="G71" s="1">
        <v>42401</v>
      </c>
      <c r="I71" s="9">
        <f ca="1">DATEDIF(G71,IF(H71="",TODAY(),H71),"Y")+DATEDIF(G71,IF(H71="",TODAY(),H71),"Ym")/12</f>
        <v>10.583333333333334</v>
      </c>
      <c r="J71" s="7" cm="1">
        <f t="array" aca="1" ref="J71" ca="1">IF(ISNUMBER(I71), I71, DAY (I71) + HOUR (I71)/24)</f>
        <v>10.583333333333334</v>
      </c>
      <c r="K71" t="str">
        <f ca="1">IF(I71&lt;1,"0-1 yr", IF(I71&lt;3,"0-3 Yrs", IF(I71&lt;5, "3-5 yrs","5+Yrs")))</f>
        <v>5+Yrs</v>
      </c>
      <c r="L71" t="str">
        <f ca="1">IF(M71&lt;&gt;"Left","",IF(Z71&gt;20,"Work-Life Balance",IF(OR(X71&lt;=2,Y71&lt;=2),"Work Culture",IF(Q71&lt;AVERAGEIFS($Q$2:$Q$201,$E$2:$E$201,E71),"Better Salary",IF(IFERROR(DATEDIF(V71,IF(H71="",TODAY(),H71),"y"),0)&gt;=3,"Career Growth","Better Opportunity")))))</f>
        <v/>
      </c>
      <c r="M71" t="s">
        <v>27</v>
      </c>
      <c r="N71" t="s">
        <v>28</v>
      </c>
      <c r="O71">
        <f t="shared" si="4"/>
        <v>6.6312499999999996</v>
      </c>
      <c r="P71" t="str">
        <f t="shared" si="5"/>
        <v>6L-8L</v>
      </c>
      <c r="Q71">
        <v>663125</v>
      </c>
      <c r="R71">
        <v>4</v>
      </c>
      <c r="S71" t="s">
        <v>36</v>
      </c>
      <c r="T71" t="s">
        <v>43</v>
      </c>
      <c r="U71" t="s">
        <v>44</v>
      </c>
      <c r="V71" s="1">
        <v>44198</v>
      </c>
      <c r="W71">
        <v>10.58</v>
      </c>
      <c r="X71">
        <v>4</v>
      </c>
      <c r="Y71">
        <v>5</v>
      </c>
      <c r="Z71">
        <v>24</v>
      </c>
      <c r="AA71">
        <v>51</v>
      </c>
      <c r="AB71">
        <v>23</v>
      </c>
    </row>
    <row r="72" spans="1:28" x14ac:dyDescent="0.35">
      <c r="A72" t="s">
        <v>32</v>
      </c>
      <c r="B72" t="s">
        <v>33</v>
      </c>
      <c r="C72">
        <v>56</v>
      </c>
      <c r="D72" t="s">
        <v>24</v>
      </c>
      <c r="E72" t="s">
        <v>34</v>
      </c>
      <c r="F72" t="s">
        <v>35</v>
      </c>
      <c r="G72" s="1">
        <v>42018</v>
      </c>
      <c r="I72" s="9">
        <f ca="1">DATEDIF(G72,IF(H72="",TODAY(),H72),"Y")+DATEDIF(G72,IF(H72="",TODAY(),H72),"Ym")/12</f>
        <v>11.583333333333334</v>
      </c>
      <c r="J72" s="7" cm="1">
        <f t="array" aca="1" ref="J72" ca="1">IF(ISNUMBER(I72), I72, DAY (I72) + HOUR (I72)/24)</f>
        <v>11.583333333333334</v>
      </c>
      <c r="K72" t="str">
        <f ca="1">IF(I72&lt;1,"0-1 yr", IF(I72&lt;3,"0-3 Yrs", IF(I72&lt;5, "3-5 yrs","5+Yrs")))</f>
        <v>5+Yrs</v>
      </c>
      <c r="L72" t="str">
        <f ca="1">IF(M72&lt;&gt;"Left","",IF(Z72&gt;20,"Work-Life Balance",IF(OR(X72&lt;=2,Y72&lt;=2),"Work Culture",IF(Q72&lt;AVERAGEIFS($Q$2:$Q$201,$E$2:$E$201,E72),"Better Salary",IF(IFERROR(DATEDIF(V72,IF(H72="",TODAY(),H72),"y"),0)&gt;=3,"Career Growth","Better Opportunity")))))</f>
        <v/>
      </c>
      <c r="M72" t="s">
        <v>27</v>
      </c>
      <c r="N72" t="s">
        <v>28</v>
      </c>
      <c r="O72">
        <f t="shared" si="4"/>
        <v>6.6460999999999997</v>
      </c>
      <c r="P72" t="str">
        <f t="shared" si="5"/>
        <v>6L-8L</v>
      </c>
      <c r="Q72">
        <v>664610</v>
      </c>
      <c r="R72">
        <v>4</v>
      </c>
      <c r="S72" t="s">
        <v>36</v>
      </c>
      <c r="T72" t="s">
        <v>37</v>
      </c>
      <c r="U72" t="s">
        <v>38</v>
      </c>
      <c r="V72" s="1">
        <v>44368</v>
      </c>
      <c r="W72">
        <v>11.62</v>
      </c>
      <c r="X72">
        <v>3</v>
      </c>
      <c r="Y72">
        <v>5</v>
      </c>
      <c r="Z72">
        <v>3</v>
      </c>
      <c r="AA72">
        <v>54</v>
      </c>
      <c r="AB72">
        <v>41</v>
      </c>
    </row>
    <row r="73" spans="1:28" x14ac:dyDescent="0.35">
      <c r="A73" t="s">
        <v>296</v>
      </c>
      <c r="B73" t="s">
        <v>297</v>
      </c>
      <c r="C73">
        <v>26</v>
      </c>
      <c r="D73" t="s">
        <v>24</v>
      </c>
      <c r="E73" t="s">
        <v>25</v>
      </c>
      <c r="F73" t="s">
        <v>26</v>
      </c>
      <c r="G73" s="1">
        <v>44429</v>
      </c>
      <c r="I73" s="9">
        <f ca="1">DATEDIF(G73,IF(H73="",TODAY(),H73),"Y")+DATEDIF(G73,IF(H73="",TODAY(),H73),"Ym")/12</f>
        <v>5</v>
      </c>
      <c r="J73" s="7" cm="1">
        <f t="array" aca="1" ref="J73" ca="1">IF(ISNUMBER(I73), I73, DAY (I73) + HOUR (I73)/24)</f>
        <v>5</v>
      </c>
      <c r="K73" t="str">
        <f ca="1">IF(I73&lt;1,"0-1 yr", IF(I73&lt;3,"0-3 Yrs", IF(I73&lt;5, "3-5 yrs","5+Yrs")))</f>
        <v>5+Yrs</v>
      </c>
      <c r="L73" t="str">
        <f ca="1">IF(M73&lt;&gt;"Left","",IF(Z73&gt;20,"Work-Life Balance",IF(OR(X73&lt;=2,Y73&lt;=2),"Work Culture",IF(Q73&lt;AVERAGEIFS($Q$2:$Q$201,$E$2:$E$201,E73),"Better Salary",IF(IFERROR(DATEDIF(V73,IF(H73="",TODAY(),H73),"y"),0)&gt;=3,"Career Growth","Better Opportunity")))))</f>
        <v/>
      </c>
      <c r="M73" t="s">
        <v>27</v>
      </c>
      <c r="N73" t="s">
        <v>28</v>
      </c>
      <c r="O73">
        <f t="shared" si="4"/>
        <v>6.6616200000000001</v>
      </c>
      <c r="P73" t="str">
        <f t="shared" si="5"/>
        <v>6L-8L</v>
      </c>
      <c r="Q73">
        <v>666162</v>
      </c>
      <c r="R73">
        <v>3</v>
      </c>
      <c r="S73" t="s">
        <v>98</v>
      </c>
      <c r="T73" t="s">
        <v>37</v>
      </c>
      <c r="U73" t="s">
        <v>58</v>
      </c>
      <c r="V73" s="1">
        <v>46204</v>
      </c>
      <c r="W73">
        <v>5.0199999999999996</v>
      </c>
      <c r="X73">
        <v>1</v>
      </c>
      <c r="Y73">
        <v>1</v>
      </c>
      <c r="Z73">
        <v>16</v>
      </c>
      <c r="AA73">
        <v>73</v>
      </c>
      <c r="AB73">
        <v>35</v>
      </c>
    </row>
    <row r="74" spans="1:28" x14ac:dyDescent="0.35">
      <c r="A74" t="s">
        <v>404</v>
      </c>
      <c r="B74" t="s">
        <v>405</v>
      </c>
      <c r="C74">
        <v>34</v>
      </c>
      <c r="D74" t="s">
        <v>24</v>
      </c>
      <c r="E74" t="s">
        <v>56</v>
      </c>
      <c r="F74" t="s">
        <v>93</v>
      </c>
      <c r="G74" s="1">
        <v>45335</v>
      </c>
      <c r="I74" s="9">
        <f ca="1">DATEDIF(G74,IF(H74="",TODAY(),H74),"Y")+DATEDIF(G74,IF(H74="",TODAY(),H74),"Ym")/12</f>
        <v>2.5</v>
      </c>
      <c r="J74" s="7" cm="1">
        <f t="array" aca="1" ref="J74" ca="1">IF(ISNUMBER(I74), I74, DAY (I74) + HOUR (I74)/24)</f>
        <v>2.5</v>
      </c>
      <c r="K74" t="str">
        <f ca="1">IF(I74&lt;1,"0-1 yr", IF(I74&lt;3,"0-3 Yrs", IF(I74&lt;5, "3-5 yrs","5+Yrs")))</f>
        <v>0-3 Yrs</v>
      </c>
      <c r="L74" t="str">
        <f ca="1">IF(M74&lt;&gt;"Left","",IF(Z74&gt;20,"Work-Life Balance",IF(OR(X74&lt;=2,Y74&lt;=2),"Work Culture",IF(Q74&lt;AVERAGEIFS($Q$2:$Q$201,$E$2:$E$201,E74),"Better Salary",IF(IFERROR(DATEDIF(V74,IF(H74="",TODAY(),H74),"y"),0)&gt;=3,"Career Growth","Better Opportunity")))))</f>
        <v/>
      </c>
      <c r="M74" t="s">
        <v>27</v>
      </c>
      <c r="N74" t="s">
        <v>28</v>
      </c>
      <c r="O74">
        <f t="shared" si="4"/>
        <v>6.6760900000000003</v>
      </c>
      <c r="P74" t="str">
        <f t="shared" si="5"/>
        <v>6L-8L</v>
      </c>
      <c r="Q74">
        <v>667609</v>
      </c>
      <c r="R74">
        <v>3</v>
      </c>
      <c r="S74" t="s">
        <v>66</v>
      </c>
      <c r="T74" t="s">
        <v>30</v>
      </c>
      <c r="U74" t="s">
        <v>106</v>
      </c>
      <c r="V74" s="1">
        <v>46245</v>
      </c>
      <c r="W74">
        <v>2.54</v>
      </c>
      <c r="X74">
        <v>2</v>
      </c>
      <c r="Y74">
        <v>5</v>
      </c>
      <c r="Z74">
        <v>18</v>
      </c>
      <c r="AA74">
        <v>39</v>
      </c>
      <c r="AB74">
        <v>24</v>
      </c>
    </row>
    <row r="75" spans="1:28" x14ac:dyDescent="0.35">
      <c r="A75" t="s">
        <v>91</v>
      </c>
      <c r="B75" t="s">
        <v>92</v>
      </c>
      <c r="C75">
        <v>39</v>
      </c>
      <c r="D75" t="s">
        <v>41</v>
      </c>
      <c r="E75" t="s">
        <v>56</v>
      </c>
      <c r="F75" t="s">
        <v>93</v>
      </c>
      <c r="G75" s="1">
        <v>42355</v>
      </c>
      <c r="I75" s="9">
        <f ca="1">DATEDIF(G75,IF(H75="",TODAY(),H75),"Y")+DATEDIF(G75,IF(H75="",TODAY(),H75),"Ym")/12</f>
        <v>10.666666666666666</v>
      </c>
      <c r="J75" s="7" cm="1">
        <f t="array" aca="1" ref="J75" ca="1">IF(ISNUMBER(I75), I75, DAY (I75) + HOUR (I75)/24)</f>
        <v>10.666666666666666</v>
      </c>
      <c r="K75" t="str">
        <f ca="1">IF(I75&lt;1,"0-1 yr", IF(I75&lt;3,"0-3 Yrs", IF(I75&lt;5, "3-5 yrs","5+Yrs")))</f>
        <v>5+Yrs</v>
      </c>
      <c r="L75" t="str">
        <f ca="1">IF(M75&lt;&gt;"Left","",IF(Z75&gt;20,"Work-Life Balance",IF(OR(X75&lt;=2,Y75&lt;=2),"Work Culture",IF(Q75&lt;AVERAGEIFS($Q$2:$Q$201,$E$2:$E$201,E75),"Better Salary",IF(IFERROR(DATEDIF(V75,IF(H75="",TODAY(),H75),"y"),0)&gt;=3,"Career Growth","Better Opportunity")))))</f>
        <v/>
      </c>
      <c r="M75" t="s">
        <v>27</v>
      </c>
      <c r="N75" t="s">
        <v>28</v>
      </c>
      <c r="O75">
        <f t="shared" si="4"/>
        <v>6.6917400000000002</v>
      </c>
      <c r="P75" t="str">
        <f t="shared" si="5"/>
        <v>6L-8L</v>
      </c>
      <c r="Q75">
        <v>669174</v>
      </c>
      <c r="R75">
        <v>4</v>
      </c>
      <c r="S75" t="s">
        <v>36</v>
      </c>
      <c r="T75" t="s">
        <v>43</v>
      </c>
      <c r="U75" t="s">
        <v>87</v>
      </c>
      <c r="W75">
        <v>10.7</v>
      </c>
      <c r="X75">
        <v>5</v>
      </c>
      <c r="Y75">
        <v>2</v>
      </c>
      <c r="Z75">
        <v>9</v>
      </c>
      <c r="AA75">
        <v>66</v>
      </c>
      <c r="AB75">
        <v>37</v>
      </c>
    </row>
    <row r="76" spans="1:28" x14ac:dyDescent="0.35">
      <c r="A76" t="s">
        <v>139</v>
      </c>
      <c r="B76" t="s">
        <v>140</v>
      </c>
      <c r="C76">
        <v>28</v>
      </c>
      <c r="D76" t="s">
        <v>24</v>
      </c>
      <c r="E76" t="s">
        <v>34</v>
      </c>
      <c r="F76" t="s">
        <v>47</v>
      </c>
      <c r="G76" s="1">
        <v>42782</v>
      </c>
      <c r="I76" s="9">
        <f ca="1">DATEDIF(G76,IF(H76="",TODAY(),H76),"Y")+DATEDIF(G76,IF(H76="",TODAY(),H76),"Ym")/12</f>
        <v>9.5</v>
      </c>
      <c r="J76" s="7" cm="1">
        <f t="array" aca="1" ref="J76" ca="1">IF(ISNUMBER(I76), I76, DAY (I76) + HOUR (I76)/24)</f>
        <v>9.5</v>
      </c>
      <c r="K76" t="str">
        <f ca="1">IF(I76&lt;1,"0-1 yr", IF(I76&lt;3,"0-3 Yrs", IF(I76&lt;5, "3-5 yrs","5+Yrs")))</f>
        <v>5+Yrs</v>
      </c>
      <c r="L76" t="str">
        <f ca="1">IF(M76&lt;&gt;"Left","",IF(Z76&gt;20,"Work-Life Balance",IF(OR(X76&lt;=2,Y76&lt;=2),"Work Culture",IF(Q76&lt;AVERAGEIFS($Q$2:$Q$201,$E$2:$E$201,E76),"Better Salary",IF(IFERROR(DATEDIF(V76,IF(H76="",TODAY(),H76),"y"),0)&gt;=3,"Career Growth","Better Opportunity")))))</f>
        <v/>
      </c>
      <c r="M76" t="s">
        <v>27</v>
      </c>
      <c r="N76" t="s">
        <v>28</v>
      </c>
      <c r="O76">
        <f t="shared" si="4"/>
        <v>6.7118700000000002</v>
      </c>
      <c r="P76" t="str">
        <f t="shared" si="5"/>
        <v>6L-8L</v>
      </c>
      <c r="Q76">
        <v>671187</v>
      </c>
      <c r="R76">
        <v>5</v>
      </c>
      <c r="S76" t="s">
        <v>66</v>
      </c>
      <c r="T76" t="s">
        <v>30</v>
      </c>
      <c r="U76" t="s">
        <v>58</v>
      </c>
      <c r="V76" s="1">
        <v>45302</v>
      </c>
      <c r="W76">
        <v>9.5299999999999994</v>
      </c>
      <c r="X76">
        <v>1</v>
      </c>
      <c r="Y76">
        <v>5</v>
      </c>
      <c r="Z76">
        <v>11</v>
      </c>
      <c r="AA76">
        <v>38</v>
      </c>
      <c r="AB76">
        <v>34</v>
      </c>
    </row>
    <row r="77" spans="1:28" x14ac:dyDescent="0.35">
      <c r="A77" t="s">
        <v>109</v>
      </c>
      <c r="B77" t="s">
        <v>110</v>
      </c>
      <c r="C77">
        <v>50</v>
      </c>
      <c r="D77" t="s">
        <v>24</v>
      </c>
      <c r="E77" t="s">
        <v>34</v>
      </c>
      <c r="F77" t="s">
        <v>47</v>
      </c>
      <c r="G77" s="1">
        <v>42428</v>
      </c>
      <c r="H77" s="1">
        <v>43332</v>
      </c>
      <c r="I77" s="9">
        <f ca="1">DATEDIF(G77,IF(H77="",TODAY(),H77),"Y")+DATEDIF(G77,IF(H77="",TODAY(),H77),"Ym")/12</f>
        <v>2.4166666666666665</v>
      </c>
      <c r="J77" s="7" cm="1">
        <f t="array" aca="1" ref="J77" ca="1">IF(ISNUMBER(I77), I77, DAY (I77) + HOUR (I77)/24)</f>
        <v>2.4166666666666665</v>
      </c>
      <c r="K77" s="1" t="str">
        <f ca="1">IF(I77&lt;1,"0-1 yr", IF(I77&lt;3,"0-3 Yrs", IF(I77&lt;5, "3-5 yrs","5+Yrs")))</f>
        <v>0-3 Yrs</v>
      </c>
      <c r="L77" t="str">
        <f ca="1">IF(M77&lt;&gt;"Left","",IF(Z77&gt;20,"Work-Life Balance",IF(OR(X77&lt;=2,Y77&lt;=2),"Work Culture",IF(Q77&lt;AVERAGEIFS($Q$2:$Q$201,$E$2:$E$201,E77),"Better Salary",IF(IFERROR(DATEDIF(V77,IF(H77="",TODAY(),H77),"y"),0)&gt;=3,"Career Growth","Better Opportunity")))))</f>
        <v>Work-Life Balance</v>
      </c>
      <c r="M77" t="s">
        <v>69</v>
      </c>
      <c r="N77" t="s">
        <v>70</v>
      </c>
      <c r="O77">
        <f t="shared" si="4"/>
        <v>6.7485799999999996</v>
      </c>
      <c r="P77" t="str">
        <f t="shared" si="5"/>
        <v>6L-8L</v>
      </c>
      <c r="Q77">
        <v>674858</v>
      </c>
      <c r="R77">
        <v>3</v>
      </c>
      <c r="S77" t="s">
        <v>98</v>
      </c>
      <c r="T77" t="s">
        <v>43</v>
      </c>
      <c r="U77" t="s">
        <v>58</v>
      </c>
      <c r="V77" s="1">
        <v>45941</v>
      </c>
      <c r="W77">
        <v>2.48</v>
      </c>
      <c r="X77">
        <v>3</v>
      </c>
      <c r="Y77">
        <v>4</v>
      </c>
      <c r="Z77">
        <v>21</v>
      </c>
      <c r="AA77">
        <v>15</v>
      </c>
      <c r="AB77">
        <v>24</v>
      </c>
    </row>
    <row r="78" spans="1:28" x14ac:dyDescent="0.35">
      <c r="A78" t="s">
        <v>419</v>
      </c>
      <c r="B78" t="s">
        <v>420</v>
      </c>
      <c r="C78">
        <v>27</v>
      </c>
      <c r="D78" t="s">
        <v>41</v>
      </c>
      <c r="E78" t="s">
        <v>56</v>
      </c>
      <c r="F78" t="s">
        <v>93</v>
      </c>
      <c r="G78" s="1">
        <v>45423</v>
      </c>
      <c r="I78" s="9">
        <f ca="1">DATEDIF(G78,IF(H78="",TODAY(),H78),"Y")+DATEDIF(G78,IF(H78="",TODAY(),H78),"Ym")/12</f>
        <v>2.25</v>
      </c>
      <c r="J78" s="7" cm="1">
        <f t="array" aca="1" ref="J78" ca="1">IF(ISNUMBER(I78), I78, DAY (I78) + HOUR (I78)/24)</f>
        <v>2.25</v>
      </c>
      <c r="K78" t="str">
        <f ca="1">IF(I78&lt;1,"0-1 yr", IF(I78&lt;3,"0-3 Yrs", IF(I78&lt;5, "3-5 yrs","5+Yrs")))</f>
        <v>0-3 Yrs</v>
      </c>
      <c r="L78" t="str">
        <f ca="1">IF(M78&lt;&gt;"Left","",IF(Z78&gt;20,"Work-Life Balance",IF(OR(X78&lt;=2,Y78&lt;=2),"Work Culture",IF(Q78&lt;AVERAGEIFS($Q$2:$Q$201,$E$2:$E$201,E78),"Better Salary",IF(IFERROR(DATEDIF(V78,IF(H78="",TODAY(),H78),"y"),0)&gt;=3,"Career Growth","Better Opportunity")))))</f>
        <v/>
      </c>
      <c r="M78" t="s">
        <v>27</v>
      </c>
      <c r="N78" t="s">
        <v>28</v>
      </c>
      <c r="O78">
        <f t="shared" si="4"/>
        <v>6.78552</v>
      </c>
      <c r="P78" t="str">
        <f t="shared" si="5"/>
        <v>6L-8L</v>
      </c>
      <c r="Q78">
        <v>678552</v>
      </c>
      <c r="R78">
        <v>3</v>
      </c>
      <c r="S78" t="s">
        <v>73</v>
      </c>
      <c r="T78" t="s">
        <v>30</v>
      </c>
      <c r="U78" t="s">
        <v>58</v>
      </c>
      <c r="V78" s="1">
        <v>45765</v>
      </c>
      <c r="W78">
        <v>2.2999999999999998</v>
      </c>
      <c r="X78">
        <v>3</v>
      </c>
      <c r="Y78">
        <v>2</v>
      </c>
      <c r="Z78">
        <v>19</v>
      </c>
      <c r="AA78">
        <v>34</v>
      </c>
      <c r="AB78">
        <v>12</v>
      </c>
    </row>
    <row r="79" spans="1:28" x14ac:dyDescent="0.35">
      <c r="A79" t="s">
        <v>245</v>
      </c>
      <c r="B79" t="s">
        <v>246</v>
      </c>
      <c r="C79">
        <v>33</v>
      </c>
      <c r="D79" t="s">
        <v>24</v>
      </c>
      <c r="E79" t="s">
        <v>34</v>
      </c>
      <c r="F79" t="s">
        <v>51</v>
      </c>
      <c r="G79" s="1">
        <v>43789</v>
      </c>
      <c r="I79" s="9">
        <f ca="1">DATEDIF(G79,IF(H79="",TODAY(),H79),"Y")+DATEDIF(G79,IF(H79="",TODAY(),H79),"Ym")/12</f>
        <v>6.75</v>
      </c>
      <c r="J79" s="7" cm="1">
        <f t="array" aca="1" ref="J79" ca="1">IF(ISNUMBER(I79), I79, DAY (I79) + HOUR (I79)/24)</f>
        <v>6.75</v>
      </c>
      <c r="K79" t="str">
        <f ca="1">IF(I79&lt;1,"0-1 yr", IF(I79&lt;3,"0-3 Yrs", IF(I79&lt;5, "3-5 yrs","5+Yrs")))</f>
        <v>5+Yrs</v>
      </c>
      <c r="L79" t="str">
        <f ca="1">IF(M79&lt;&gt;"Left","",IF(Z79&gt;20,"Work-Life Balance",IF(OR(X79&lt;=2,Y79&lt;=2),"Work Culture",IF(Q79&lt;AVERAGEIFS($Q$2:$Q$201,$E$2:$E$201,E79),"Better Salary",IF(IFERROR(DATEDIF(V79,IF(H79="",TODAY(),H79),"y"),0)&gt;=3,"Career Growth","Better Opportunity")))))</f>
        <v/>
      </c>
      <c r="M79" t="s">
        <v>27</v>
      </c>
      <c r="N79" t="s">
        <v>28</v>
      </c>
      <c r="O79">
        <f t="shared" si="4"/>
        <v>6.9018899999999999</v>
      </c>
      <c r="P79" t="str">
        <f t="shared" si="5"/>
        <v>6L-8L</v>
      </c>
      <c r="Q79">
        <v>690189</v>
      </c>
      <c r="R79">
        <v>3</v>
      </c>
      <c r="S79" t="s">
        <v>98</v>
      </c>
      <c r="T79" t="s">
        <v>43</v>
      </c>
      <c r="U79" t="s">
        <v>122</v>
      </c>
      <c r="V79" s="1">
        <v>45359</v>
      </c>
      <c r="W79">
        <v>6.78</v>
      </c>
      <c r="X79">
        <v>2</v>
      </c>
      <c r="Y79">
        <v>1</v>
      </c>
      <c r="Z79">
        <v>11</v>
      </c>
      <c r="AA79">
        <v>21</v>
      </c>
      <c r="AB79">
        <v>39</v>
      </c>
    </row>
    <row r="80" spans="1:28" x14ac:dyDescent="0.35">
      <c r="A80" t="s">
        <v>123</v>
      </c>
      <c r="B80" t="s">
        <v>124</v>
      </c>
      <c r="C80">
        <v>37</v>
      </c>
      <c r="D80" t="s">
        <v>24</v>
      </c>
      <c r="E80" t="s">
        <v>34</v>
      </c>
      <c r="F80" t="s">
        <v>47</v>
      </c>
      <c r="G80" s="1">
        <v>42534</v>
      </c>
      <c r="I80" s="9">
        <f ca="1">DATEDIF(G80,IF(H80="",TODAY(),H80),"Y")+DATEDIF(G80,IF(H80="",TODAY(),H80),"Ym")/12</f>
        <v>10.166666666666666</v>
      </c>
      <c r="J80" s="7" cm="1">
        <f t="array" aca="1" ref="J80" ca="1">IF(ISNUMBER(I80), I80, DAY (I80) + HOUR (I80)/24)</f>
        <v>10.166666666666666</v>
      </c>
      <c r="K80" t="str">
        <f ca="1">IF(I80&lt;1,"0-1 yr", IF(I80&lt;3,"0-3 Yrs", IF(I80&lt;5, "3-5 yrs","5+Yrs")))</f>
        <v>5+Yrs</v>
      </c>
      <c r="L80" t="str">
        <f ca="1">IF(M80&lt;&gt;"Left","",IF(Z80&gt;20,"Work-Life Balance",IF(OR(X80&lt;=2,Y80&lt;=2),"Work Culture",IF(Q80&lt;AVERAGEIFS($Q$2:$Q$201,$E$2:$E$201,E80),"Better Salary",IF(IFERROR(DATEDIF(V80,IF(H80="",TODAY(),H80),"y"),0)&gt;=3,"Career Growth","Better Opportunity")))))</f>
        <v/>
      </c>
      <c r="M80" t="s">
        <v>27</v>
      </c>
      <c r="N80" t="s">
        <v>28</v>
      </c>
      <c r="O80">
        <f t="shared" si="4"/>
        <v>6.9209800000000001</v>
      </c>
      <c r="P80" t="str">
        <f t="shared" si="5"/>
        <v>6L-8L</v>
      </c>
      <c r="Q80">
        <v>692098</v>
      </c>
      <c r="R80">
        <v>4</v>
      </c>
      <c r="S80" t="s">
        <v>98</v>
      </c>
      <c r="T80" t="s">
        <v>30</v>
      </c>
      <c r="U80" t="s">
        <v>31</v>
      </c>
      <c r="V80" s="1">
        <v>46247</v>
      </c>
      <c r="W80">
        <v>10.210000000000001</v>
      </c>
      <c r="X80">
        <v>1</v>
      </c>
      <c r="Y80">
        <v>4</v>
      </c>
      <c r="Z80">
        <v>12</v>
      </c>
      <c r="AA80">
        <v>57</v>
      </c>
      <c r="AB80">
        <v>43</v>
      </c>
    </row>
    <row r="81" spans="1:28" x14ac:dyDescent="0.35">
      <c r="A81" t="s">
        <v>67</v>
      </c>
      <c r="B81" t="s">
        <v>68</v>
      </c>
      <c r="C81">
        <v>41</v>
      </c>
      <c r="D81" t="s">
        <v>41</v>
      </c>
      <c r="E81" t="s">
        <v>34</v>
      </c>
      <c r="F81" t="s">
        <v>51</v>
      </c>
      <c r="G81" s="1">
        <v>42123</v>
      </c>
      <c r="H81" s="1">
        <v>42935</v>
      </c>
      <c r="I81" s="9">
        <f ca="1">DATEDIF(G81,IF(H81="",TODAY(),H81),"Y")+DATEDIF(G81,IF(H81="",TODAY(),H81),"Ym")/12</f>
        <v>2.1666666666666665</v>
      </c>
      <c r="J81" s="7" cm="1">
        <f t="array" aca="1" ref="J81" ca="1">IF(ISNUMBER(I81), I81, DAY (I81) + HOUR (I81)/24)</f>
        <v>2.1666666666666665</v>
      </c>
      <c r="K81" s="1" t="str">
        <f ca="1">IF(I81&lt;1,"0-1 yr", IF(I81&lt;3,"0-3 Yrs", IF(I81&lt;5, "3-5 yrs","5+Yrs")))</f>
        <v>0-3 Yrs</v>
      </c>
      <c r="L81" t="str">
        <f ca="1">IF(M81&lt;&gt;"Left","",IF(Z81&gt;20,"Work-Life Balance",IF(OR(X81&lt;=2,Y81&lt;=2),"Work Culture",IF(Q81&lt;AVERAGEIFS($Q$2:$Q$201,$E$2:$E$201,E81),"Better Salary",IF(IFERROR(DATEDIF(V81,IF(H81="",TODAY(),H81),"y"),0)&gt;=3,"Career Growth","Better Opportunity")))))</f>
        <v>Work-Life Balance</v>
      </c>
      <c r="M81" t="s">
        <v>69</v>
      </c>
      <c r="N81" t="s">
        <v>70</v>
      </c>
      <c r="O81">
        <f t="shared" si="4"/>
        <v>6.9317099999999998</v>
      </c>
      <c r="P81" t="str">
        <f t="shared" si="5"/>
        <v>6L-8L</v>
      </c>
      <c r="Q81">
        <v>693171</v>
      </c>
      <c r="R81">
        <v>5</v>
      </c>
      <c r="S81" t="s">
        <v>36</v>
      </c>
      <c r="T81" t="s">
        <v>37</v>
      </c>
      <c r="U81" t="s">
        <v>31</v>
      </c>
      <c r="V81" s="1">
        <v>43166</v>
      </c>
      <c r="W81">
        <v>2.2200000000000002</v>
      </c>
      <c r="X81">
        <v>1</v>
      </c>
      <c r="Y81">
        <v>2</v>
      </c>
      <c r="Z81">
        <v>21</v>
      </c>
      <c r="AA81">
        <v>17</v>
      </c>
      <c r="AB81">
        <v>20</v>
      </c>
    </row>
    <row r="82" spans="1:28" x14ac:dyDescent="0.35">
      <c r="A82" t="s">
        <v>281</v>
      </c>
      <c r="B82" t="s">
        <v>282</v>
      </c>
      <c r="C82">
        <v>33</v>
      </c>
      <c r="D82" t="s">
        <v>41</v>
      </c>
      <c r="E82" t="s">
        <v>34</v>
      </c>
      <c r="F82" t="s">
        <v>35</v>
      </c>
      <c r="G82" s="1">
        <v>44270</v>
      </c>
      <c r="I82" s="9">
        <f ca="1">DATEDIF(G82,IF(H82="",TODAY(),H82),"Y")+DATEDIF(G82,IF(H82="",TODAY(),H82),"Ym")/12</f>
        <v>5.416666666666667</v>
      </c>
      <c r="J82" s="7" cm="1">
        <f t="array" aca="1" ref="J82" ca="1">IF(ISNUMBER(I82), I82, DAY (I82) + HOUR (I82)/24)</f>
        <v>5.416666666666667</v>
      </c>
      <c r="K82" t="str">
        <f ca="1">IF(I82&lt;1,"0-1 yr", IF(I82&lt;3,"0-3 Yrs", IF(I82&lt;5, "3-5 yrs","5+Yrs")))</f>
        <v>5+Yrs</v>
      </c>
      <c r="L82" t="str">
        <f ca="1">IF(M82&lt;&gt;"Left","",IF(Z82&gt;20,"Work-Life Balance",IF(OR(X82&lt;=2,Y82&lt;=2),"Work Culture",IF(Q82&lt;AVERAGEIFS($Q$2:$Q$201,$E$2:$E$201,E82),"Better Salary",IF(IFERROR(DATEDIF(V82,IF(H82="",TODAY(),H82),"y"),0)&gt;=3,"Career Growth","Better Opportunity")))))</f>
        <v/>
      </c>
      <c r="M82" t="s">
        <v>27</v>
      </c>
      <c r="N82" t="s">
        <v>28</v>
      </c>
      <c r="O82">
        <f t="shared" si="4"/>
        <v>6.9511000000000003</v>
      </c>
      <c r="P82" t="str">
        <f t="shared" si="5"/>
        <v>6L-8L</v>
      </c>
      <c r="Q82">
        <v>695110</v>
      </c>
      <c r="R82">
        <v>3</v>
      </c>
      <c r="S82" t="s">
        <v>77</v>
      </c>
      <c r="T82" t="s">
        <v>30</v>
      </c>
      <c r="U82" t="s">
        <v>84</v>
      </c>
      <c r="V82" s="1">
        <v>45923</v>
      </c>
      <c r="W82">
        <v>5.46</v>
      </c>
      <c r="X82">
        <v>2</v>
      </c>
      <c r="Y82">
        <v>1</v>
      </c>
      <c r="Z82">
        <v>15</v>
      </c>
      <c r="AA82">
        <v>72</v>
      </c>
      <c r="AB82">
        <v>6</v>
      </c>
    </row>
    <row r="83" spans="1:28" x14ac:dyDescent="0.35">
      <c r="A83" t="s">
        <v>205</v>
      </c>
      <c r="B83" t="s">
        <v>206</v>
      </c>
      <c r="C83">
        <v>31</v>
      </c>
      <c r="D83" t="s">
        <v>24</v>
      </c>
      <c r="E83" t="s">
        <v>34</v>
      </c>
      <c r="F83" t="s">
        <v>35</v>
      </c>
      <c r="G83" s="1">
        <v>43444</v>
      </c>
      <c r="I83" s="9">
        <f ca="1">DATEDIF(G83,IF(H83="",TODAY(),H83),"Y")+DATEDIF(G83,IF(H83="",TODAY(),H83),"Ym")/12</f>
        <v>7.666666666666667</v>
      </c>
      <c r="J83" s="7" cm="1">
        <f t="array" aca="1" ref="J83" ca="1">IF(ISNUMBER(I83), I83, DAY (I83) + HOUR (I83)/24)</f>
        <v>7.666666666666667</v>
      </c>
      <c r="K83" t="str">
        <f ca="1">IF(I83&lt;1,"0-1 yr", IF(I83&lt;3,"0-3 Yrs", IF(I83&lt;5, "3-5 yrs","5+Yrs")))</f>
        <v>5+Yrs</v>
      </c>
      <c r="L83" t="str">
        <f ca="1">IF(M83&lt;&gt;"Left","",IF(Z83&gt;20,"Work-Life Balance",IF(OR(X83&lt;=2,Y83&lt;=2),"Work Culture",IF(Q83&lt;AVERAGEIFS($Q$2:$Q$201,$E$2:$E$201,E83),"Better Salary",IF(IFERROR(DATEDIF(V83,IF(H83="",TODAY(),H83),"y"),0)&gt;=3,"Career Growth","Better Opportunity")))))</f>
        <v/>
      </c>
      <c r="M83" t="s">
        <v>27</v>
      </c>
      <c r="N83" t="s">
        <v>28</v>
      </c>
      <c r="O83">
        <f t="shared" si="4"/>
        <v>6.9645000000000001</v>
      </c>
      <c r="P83" t="str">
        <f t="shared" si="5"/>
        <v>6L-8L</v>
      </c>
      <c r="Q83">
        <v>696450</v>
      </c>
      <c r="R83">
        <v>4</v>
      </c>
      <c r="S83" t="s">
        <v>77</v>
      </c>
      <c r="T83" t="s">
        <v>30</v>
      </c>
      <c r="U83" t="s">
        <v>58</v>
      </c>
      <c r="W83">
        <v>7.72</v>
      </c>
      <c r="X83">
        <v>1</v>
      </c>
      <c r="Y83">
        <v>4</v>
      </c>
      <c r="Z83">
        <v>16</v>
      </c>
      <c r="AA83">
        <v>77</v>
      </c>
      <c r="AB83">
        <v>2</v>
      </c>
    </row>
    <row r="84" spans="1:28" x14ac:dyDescent="0.35">
      <c r="A84" t="s">
        <v>408</v>
      </c>
      <c r="B84" t="s">
        <v>398</v>
      </c>
      <c r="C84">
        <v>37</v>
      </c>
      <c r="D84" t="s">
        <v>24</v>
      </c>
      <c r="E84" t="s">
        <v>89</v>
      </c>
      <c r="F84" t="s">
        <v>90</v>
      </c>
      <c r="G84" s="1">
        <v>45350</v>
      </c>
      <c r="H84" s="1">
        <v>46149</v>
      </c>
      <c r="I84" s="9">
        <f ca="1">DATEDIF(G84,IF(H84="",TODAY(),H84),"Y")+DATEDIF(G84,IF(H84="",TODAY(),H84),"Ym")/12</f>
        <v>2.1666666666666665</v>
      </c>
      <c r="J84" s="7" cm="1">
        <f t="array" aca="1" ref="J84" ca="1">IF(ISNUMBER(I84), I84, DAY (I84) + HOUR (I84)/24)</f>
        <v>2.1666666666666665</v>
      </c>
      <c r="K84" s="1" t="str">
        <f ca="1">IF(I84&lt;1,"0-1 yr", IF(I84&lt;3,"0-3 Yrs", IF(I84&lt;5, "3-5 yrs","5+Yrs")))</f>
        <v>0-3 Yrs</v>
      </c>
      <c r="L84" t="str">
        <f ca="1">IF(M84&lt;&gt;"Left","",IF(Z84&gt;20,"Work-Life Balance",IF(OR(X84&lt;=2,Y84&lt;=2),"Work Culture",IF(Q84&lt;AVERAGEIFS($Q$2:$Q$201,$E$2:$E$201,E84),"Better Salary",IF(IFERROR(DATEDIF(V84,IF(H84="",TODAY(),H84),"y"),0)&gt;=3,"Career Growth","Better Opportunity")))))</f>
        <v>Work Culture</v>
      </c>
      <c r="M84" t="s">
        <v>69</v>
      </c>
      <c r="N84" t="s">
        <v>70</v>
      </c>
      <c r="O84">
        <f t="shared" si="4"/>
        <v>6.9744299999999999</v>
      </c>
      <c r="P84" t="str">
        <f t="shared" si="5"/>
        <v>6L-8L</v>
      </c>
      <c r="Q84">
        <v>697443</v>
      </c>
      <c r="R84">
        <v>2</v>
      </c>
      <c r="S84" t="s">
        <v>98</v>
      </c>
      <c r="T84" t="s">
        <v>37</v>
      </c>
      <c r="U84" t="s">
        <v>38</v>
      </c>
      <c r="V84" s="1">
        <v>46142</v>
      </c>
      <c r="W84">
        <v>2.19</v>
      </c>
      <c r="X84">
        <v>5</v>
      </c>
      <c r="Y84">
        <v>1</v>
      </c>
      <c r="Z84">
        <v>10</v>
      </c>
      <c r="AA84">
        <v>16</v>
      </c>
      <c r="AB84">
        <v>11</v>
      </c>
    </row>
    <row r="85" spans="1:28" x14ac:dyDescent="0.35">
      <c r="A85" t="s">
        <v>115</v>
      </c>
      <c r="B85" t="s">
        <v>116</v>
      </c>
      <c r="C85">
        <v>57</v>
      </c>
      <c r="D85" t="s">
        <v>41</v>
      </c>
      <c r="E85" t="s">
        <v>56</v>
      </c>
      <c r="F85" t="s">
        <v>93</v>
      </c>
      <c r="G85" s="1">
        <v>42447</v>
      </c>
      <c r="I85" s="9">
        <f ca="1">DATEDIF(G85,IF(H85="",TODAY(),H85),"Y")+DATEDIF(G85,IF(H85="",TODAY(),H85),"Ym")/12</f>
        <v>10.416666666666666</v>
      </c>
      <c r="J85" s="7" cm="1">
        <f t="array" aca="1" ref="J85" ca="1">IF(ISNUMBER(I85), I85, DAY (I85) + HOUR (I85)/24)</f>
        <v>10.416666666666666</v>
      </c>
      <c r="K85" t="str">
        <f ca="1">IF(I85&lt;1,"0-1 yr", IF(I85&lt;3,"0-3 Yrs", IF(I85&lt;5, "3-5 yrs","5+Yrs")))</f>
        <v>5+Yrs</v>
      </c>
      <c r="L85" t="str">
        <f ca="1">IF(M85&lt;&gt;"Left","",IF(Z85&gt;20,"Work-Life Balance",IF(OR(X85&lt;=2,Y85&lt;=2),"Work Culture",IF(Q85&lt;AVERAGEIFS($Q$2:$Q$201,$E$2:$E$201,E85),"Better Salary",IF(IFERROR(DATEDIF(V85,IF(H85="",TODAY(),H85),"y"),0)&gt;=3,"Career Growth","Better Opportunity")))))</f>
        <v/>
      </c>
      <c r="M85" t="s">
        <v>27</v>
      </c>
      <c r="N85" t="s">
        <v>28</v>
      </c>
      <c r="O85">
        <f t="shared" si="4"/>
        <v>6.9796399999999998</v>
      </c>
      <c r="P85" t="str">
        <f t="shared" si="5"/>
        <v>6L-8L</v>
      </c>
      <c r="Q85">
        <v>697964</v>
      </c>
      <c r="R85">
        <v>5</v>
      </c>
      <c r="S85" t="s">
        <v>77</v>
      </c>
      <c r="T85" t="s">
        <v>43</v>
      </c>
      <c r="U85" t="s">
        <v>38</v>
      </c>
      <c r="V85" s="1">
        <v>44284</v>
      </c>
      <c r="W85">
        <v>10.45</v>
      </c>
      <c r="X85">
        <v>5</v>
      </c>
      <c r="Y85">
        <v>2</v>
      </c>
      <c r="Z85">
        <v>2</v>
      </c>
      <c r="AA85">
        <v>29</v>
      </c>
      <c r="AB85">
        <v>30</v>
      </c>
    </row>
    <row r="86" spans="1:28" x14ac:dyDescent="0.35">
      <c r="A86" t="s">
        <v>210</v>
      </c>
      <c r="B86" t="s">
        <v>211</v>
      </c>
      <c r="C86">
        <v>36</v>
      </c>
      <c r="D86" t="s">
        <v>24</v>
      </c>
      <c r="E86" t="s">
        <v>25</v>
      </c>
      <c r="F86" t="s">
        <v>26</v>
      </c>
      <c r="G86" s="1">
        <v>43518</v>
      </c>
      <c r="I86" s="9">
        <f ca="1">DATEDIF(G86,IF(H86="",TODAY(),H86),"Y")+DATEDIF(G86,IF(H86="",TODAY(),H86),"Ym")/12</f>
        <v>7.5</v>
      </c>
      <c r="J86" s="7" cm="1">
        <f t="array" aca="1" ref="J86" ca="1">IF(ISNUMBER(I86), I86, DAY (I86) + HOUR (I86)/24)</f>
        <v>7.5</v>
      </c>
      <c r="K86" t="str">
        <f ca="1">IF(I86&lt;1,"0-1 yr", IF(I86&lt;3,"0-3 Yrs", IF(I86&lt;5, "3-5 yrs","5+Yrs")))</f>
        <v>5+Yrs</v>
      </c>
      <c r="L86" t="str">
        <f ca="1">IF(M86&lt;&gt;"Left","",IF(Z86&gt;20,"Work-Life Balance",IF(OR(X86&lt;=2,Y86&lt;=2),"Work Culture",IF(Q86&lt;AVERAGEIFS($Q$2:$Q$201,$E$2:$E$201,E86),"Better Salary",IF(IFERROR(DATEDIF(V86,IF(H86="",TODAY(),H86),"y"),0)&gt;=3,"Career Growth","Better Opportunity")))))</f>
        <v/>
      </c>
      <c r="M86" t="s">
        <v>27</v>
      </c>
      <c r="N86" t="s">
        <v>28</v>
      </c>
      <c r="O86">
        <f t="shared" si="4"/>
        <v>6.9929100000000002</v>
      </c>
      <c r="P86" t="str">
        <f t="shared" si="5"/>
        <v>6L-8L</v>
      </c>
      <c r="Q86">
        <v>699291</v>
      </c>
      <c r="R86">
        <v>3</v>
      </c>
      <c r="S86" t="s">
        <v>66</v>
      </c>
      <c r="T86" t="s">
        <v>37</v>
      </c>
      <c r="U86" t="s">
        <v>84</v>
      </c>
      <c r="V86" s="1">
        <v>45057</v>
      </c>
      <c r="W86">
        <v>7.52</v>
      </c>
      <c r="X86">
        <v>1</v>
      </c>
      <c r="Y86">
        <v>2</v>
      </c>
      <c r="Z86">
        <v>9</v>
      </c>
      <c r="AA86">
        <v>55</v>
      </c>
      <c r="AB86">
        <v>33</v>
      </c>
    </row>
    <row r="87" spans="1:28" x14ac:dyDescent="0.35">
      <c r="A87" t="s">
        <v>247</v>
      </c>
      <c r="B87" t="s">
        <v>206</v>
      </c>
      <c r="C87">
        <v>44</v>
      </c>
      <c r="D87" t="s">
        <v>24</v>
      </c>
      <c r="E87" t="s">
        <v>56</v>
      </c>
      <c r="F87" t="s">
        <v>57</v>
      </c>
      <c r="G87" s="1">
        <v>43805</v>
      </c>
      <c r="I87" s="9">
        <f ca="1">DATEDIF(G87,IF(H87="",TODAY(),H87),"Y")+DATEDIF(G87,IF(H87="",TODAY(),H87),"Ym")/12</f>
        <v>6.666666666666667</v>
      </c>
      <c r="J87" s="7" cm="1">
        <f t="array" aca="1" ref="J87" ca="1">IF(ISNUMBER(I87), I87, DAY (I87) + HOUR (I87)/24)</f>
        <v>6.666666666666667</v>
      </c>
      <c r="K87" t="str">
        <f ca="1">IF(I87&lt;1,"0-1 yr", IF(I87&lt;3,"0-3 Yrs", IF(I87&lt;5, "3-5 yrs","5+Yrs")))</f>
        <v>5+Yrs</v>
      </c>
      <c r="L87" t="str">
        <f ca="1">IF(M87&lt;&gt;"Left","",IF(Z87&gt;20,"Work-Life Balance",IF(OR(X87&lt;=2,Y87&lt;=2),"Work Culture",IF(Q87&lt;AVERAGEIFS($Q$2:$Q$201,$E$2:$E$201,E87),"Better Salary",IF(IFERROR(DATEDIF(V87,IF(H87="",TODAY(),H87),"y"),0)&gt;=3,"Career Growth","Better Opportunity")))))</f>
        <v/>
      </c>
      <c r="M87" t="s">
        <v>27</v>
      </c>
      <c r="N87" t="s">
        <v>28</v>
      </c>
      <c r="O87">
        <f t="shared" si="4"/>
        <v>7.0086199999999996</v>
      </c>
      <c r="P87" t="str">
        <f t="shared" si="5"/>
        <v>6L-8L</v>
      </c>
      <c r="Q87">
        <v>700862</v>
      </c>
      <c r="R87">
        <v>3</v>
      </c>
      <c r="S87" t="s">
        <v>98</v>
      </c>
      <c r="T87" t="s">
        <v>30</v>
      </c>
      <c r="U87" t="s">
        <v>122</v>
      </c>
      <c r="V87" s="1">
        <v>44693</v>
      </c>
      <c r="W87">
        <v>6.73</v>
      </c>
      <c r="X87">
        <v>4</v>
      </c>
      <c r="Y87">
        <v>2</v>
      </c>
      <c r="Z87">
        <v>10</v>
      </c>
      <c r="AA87">
        <v>20</v>
      </c>
      <c r="AB87">
        <v>9</v>
      </c>
    </row>
    <row r="88" spans="1:28" x14ac:dyDescent="0.35">
      <c r="A88" t="s">
        <v>203</v>
      </c>
      <c r="B88" t="s">
        <v>204</v>
      </c>
      <c r="C88">
        <v>28</v>
      </c>
      <c r="D88" t="s">
        <v>41</v>
      </c>
      <c r="E88" t="s">
        <v>56</v>
      </c>
      <c r="F88" t="s">
        <v>93</v>
      </c>
      <c r="G88" s="1">
        <v>43443</v>
      </c>
      <c r="I88" s="9">
        <f ca="1">DATEDIF(G88,IF(H88="",TODAY(),H88),"Y")+DATEDIF(G88,IF(H88="",TODAY(),H88),"Ym")/12</f>
        <v>7.666666666666667</v>
      </c>
      <c r="J88" s="7" cm="1">
        <f t="array" aca="1" ref="J88" ca="1">IF(ISNUMBER(I88), I88, DAY (I88) + HOUR (I88)/24)</f>
        <v>7.666666666666667</v>
      </c>
      <c r="K88" t="str">
        <f ca="1">IF(I88&lt;1,"0-1 yr", IF(I88&lt;3,"0-3 Yrs", IF(I88&lt;5, "3-5 yrs","5+Yrs")))</f>
        <v>5+Yrs</v>
      </c>
      <c r="L88" t="str">
        <f ca="1">IF(M88&lt;&gt;"Left","",IF(Z88&gt;20,"Work-Life Balance",IF(OR(X88&lt;=2,Y88&lt;=2),"Work Culture",IF(Q88&lt;AVERAGEIFS($Q$2:$Q$201,$E$2:$E$201,E88),"Better Salary",IF(IFERROR(DATEDIF(V88,IF(H88="",TODAY(),H88),"y"),0)&gt;=3,"Career Growth","Better Opportunity")))))</f>
        <v/>
      </c>
      <c r="M88" t="s">
        <v>27</v>
      </c>
      <c r="N88" t="s">
        <v>28</v>
      </c>
      <c r="O88">
        <f t="shared" si="4"/>
        <v>7.0106700000000002</v>
      </c>
      <c r="P88" t="str">
        <f t="shared" si="5"/>
        <v>6L-8L</v>
      </c>
      <c r="Q88">
        <v>701067</v>
      </c>
      <c r="R88">
        <v>4</v>
      </c>
      <c r="S88" t="s">
        <v>29</v>
      </c>
      <c r="T88" t="s">
        <v>30</v>
      </c>
      <c r="U88" t="s">
        <v>106</v>
      </c>
      <c r="W88">
        <v>7.72</v>
      </c>
      <c r="X88">
        <v>3</v>
      </c>
      <c r="Y88">
        <v>2</v>
      </c>
      <c r="Z88">
        <v>7</v>
      </c>
      <c r="AA88">
        <v>46</v>
      </c>
      <c r="AB88">
        <v>10</v>
      </c>
    </row>
    <row r="89" spans="1:28" x14ac:dyDescent="0.35">
      <c r="A89" t="s">
        <v>413</v>
      </c>
      <c r="B89" t="s">
        <v>414</v>
      </c>
      <c r="C89">
        <v>28</v>
      </c>
      <c r="D89" t="s">
        <v>24</v>
      </c>
      <c r="E89" t="s">
        <v>25</v>
      </c>
      <c r="F89" t="s">
        <v>26</v>
      </c>
      <c r="G89" s="1">
        <v>46101</v>
      </c>
      <c r="H89" s="1">
        <v>46239</v>
      </c>
      <c r="I89" s="9">
        <f ca="1">DATEDIF(G89,IF(H89="",TODAY(),H89),"Y")+DATEDIF(G89,IF(H89="",TODAY(),H89),"Ym")/12</f>
        <v>0.33333333333333331</v>
      </c>
      <c r="J89" s="7" cm="1">
        <f t="array" aca="1" ref="J89" ca="1">IF(ISNUMBER(I89), I89, DAY (I89) + HOUR (I89)/24)</f>
        <v>0.33333333333333331</v>
      </c>
      <c r="K89" s="1" t="str">
        <f ca="1">IF(I89&lt;1,"0-1 yr", IF(I89&lt;3,"0-3 Yrs", IF(I89&lt;5, "3-5 yrs","5+Yrs")))</f>
        <v>0-1 yr</v>
      </c>
      <c r="L89" t="str">
        <f ca="1">IF(M89&lt;&gt;"Left","",IF(Z89&gt;20,"Work-Life Balance",IF(OR(X89&lt;=2,Y89&lt;=2),"Work Culture",IF(Q89&lt;AVERAGEIFS($Q$2:$Q$201,$E$2:$E$201,E89),"Better Salary",IF(IFERROR(DATEDIF(V89,IF(H89="",TODAY(),H89),"y"),0)&gt;=3,"Career Growth","Better Opportunity")))))</f>
        <v>Better Salary</v>
      </c>
      <c r="M89" t="s">
        <v>69</v>
      </c>
      <c r="N89" t="s">
        <v>70</v>
      </c>
      <c r="O89">
        <f t="shared" si="4"/>
        <v>7.0658300000000001</v>
      </c>
      <c r="P89" t="str">
        <f t="shared" si="5"/>
        <v>6L-8L</v>
      </c>
      <c r="Q89">
        <v>706583</v>
      </c>
      <c r="R89">
        <v>3</v>
      </c>
      <c r="S89" t="s">
        <v>98</v>
      </c>
      <c r="T89" t="s">
        <v>43</v>
      </c>
      <c r="U89" t="s">
        <v>87</v>
      </c>
      <c r="V89" s="1">
        <v>46251</v>
      </c>
      <c r="W89">
        <v>1.38</v>
      </c>
      <c r="X89">
        <v>4</v>
      </c>
      <c r="Y89">
        <v>4</v>
      </c>
      <c r="Z89">
        <v>17</v>
      </c>
      <c r="AA89">
        <v>8</v>
      </c>
      <c r="AB89">
        <v>26</v>
      </c>
    </row>
    <row r="90" spans="1:28" x14ac:dyDescent="0.35">
      <c r="A90" t="s">
        <v>185</v>
      </c>
      <c r="B90" t="s">
        <v>186</v>
      </c>
      <c r="C90">
        <v>55</v>
      </c>
      <c r="D90" t="s">
        <v>41</v>
      </c>
      <c r="E90" t="s">
        <v>64</v>
      </c>
      <c r="F90" t="s">
        <v>65</v>
      </c>
      <c r="G90" s="1">
        <v>43271</v>
      </c>
      <c r="I90" s="9">
        <f ca="1">DATEDIF(G90,IF(H90="",TODAY(),H90),"Y")+DATEDIF(G90,IF(H90="",TODAY(),H90),"Ym")/12</f>
        <v>8.1666666666666661</v>
      </c>
      <c r="J90" s="7" cm="1">
        <f t="array" aca="1" ref="J90" ca="1">IF(ISNUMBER(I90), I90, DAY (I90) + HOUR (I90)/24)</f>
        <v>8.1666666666666661</v>
      </c>
      <c r="K90" t="str">
        <f ca="1">IF(I90&lt;1,"0-1 yr", IF(I90&lt;3,"0-3 Yrs", IF(I90&lt;5, "3-5 yrs","5+Yrs")))</f>
        <v>5+Yrs</v>
      </c>
      <c r="L90" t="str">
        <f ca="1">IF(M90&lt;&gt;"Left","",IF(Z90&gt;20,"Work-Life Balance",IF(OR(X90&lt;=2,Y90&lt;=2),"Work Culture",IF(Q90&lt;AVERAGEIFS($Q$2:$Q$201,$E$2:$E$201,E90),"Better Salary",IF(IFERROR(DATEDIF(V90,IF(H90="",TODAY(),H90),"y"),0)&gt;=3,"Career Growth","Better Opportunity")))))</f>
        <v/>
      </c>
      <c r="M90" t="s">
        <v>27</v>
      </c>
      <c r="N90" t="s">
        <v>28</v>
      </c>
      <c r="O90">
        <f t="shared" si="4"/>
        <v>7.1248800000000001</v>
      </c>
      <c r="P90" t="str">
        <f t="shared" si="5"/>
        <v>6L-8L</v>
      </c>
      <c r="Q90">
        <v>712488</v>
      </c>
      <c r="R90">
        <v>4</v>
      </c>
      <c r="S90" t="s">
        <v>77</v>
      </c>
      <c r="T90" t="s">
        <v>37</v>
      </c>
      <c r="U90" t="s">
        <v>38</v>
      </c>
      <c r="V90" s="1">
        <v>45253</v>
      </c>
      <c r="W90">
        <v>8.19</v>
      </c>
      <c r="X90">
        <v>2</v>
      </c>
      <c r="Y90">
        <v>3</v>
      </c>
      <c r="Z90">
        <v>17</v>
      </c>
      <c r="AA90">
        <v>34</v>
      </c>
      <c r="AB90">
        <v>16</v>
      </c>
    </row>
    <row r="91" spans="1:28" x14ac:dyDescent="0.35">
      <c r="A91" t="s">
        <v>347</v>
      </c>
      <c r="B91" t="s">
        <v>348</v>
      </c>
      <c r="C91">
        <v>54</v>
      </c>
      <c r="D91" t="s">
        <v>24</v>
      </c>
      <c r="E91" t="s">
        <v>89</v>
      </c>
      <c r="F91" t="s">
        <v>152</v>
      </c>
      <c r="G91" s="1">
        <v>44890</v>
      </c>
      <c r="H91" s="1">
        <v>45536</v>
      </c>
      <c r="I91" s="9">
        <f ca="1">DATEDIF(G91,IF(H91="",TODAY(),H91),"Y")+DATEDIF(G91,IF(H91="",TODAY(),H91),"Ym")/12</f>
        <v>1.75</v>
      </c>
      <c r="J91" s="7" cm="1">
        <f t="array" aca="1" ref="J91" ca="1">IF(ISNUMBER(I91), I91, DAY (I91) + HOUR (I91)/24)</f>
        <v>1.75</v>
      </c>
      <c r="K91" s="1" t="str">
        <f ca="1">IF(I91&lt;1,"0-1 yr", IF(I91&lt;3,"0-3 Yrs", IF(I91&lt;5, "3-5 yrs","5+Yrs")))</f>
        <v>0-3 Yrs</v>
      </c>
      <c r="L91" t="str">
        <f ca="1">IF(M91&lt;&gt;"Left","",IF(Z91&gt;20,"Work-Life Balance",IF(OR(X91&lt;=2,Y91&lt;=2),"Work Culture",IF(Q91&lt;AVERAGEIFS($Q$2:$Q$201,$E$2:$E$201,E91),"Better Salary",IF(IFERROR(DATEDIF(V91,IF(H91="",TODAY(),H91),"y"),0)&gt;=3,"Career Growth","Better Opportunity")))))</f>
        <v>Work-Life Balance</v>
      </c>
      <c r="M91" t="s">
        <v>69</v>
      </c>
      <c r="N91" t="s">
        <v>70</v>
      </c>
      <c r="O91">
        <f t="shared" si="4"/>
        <v>7.1364799999999997</v>
      </c>
      <c r="P91" t="str">
        <f t="shared" si="5"/>
        <v>6L-8L</v>
      </c>
      <c r="Q91">
        <v>713648</v>
      </c>
      <c r="R91">
        <v>4</v>
      </c>
      <c r="S91" t="s">
        <v>29</v>
      </c>
      <c r="T91" t="s">
        <v>30</v>
      </c>
      <c r="U91" t="s">
        <v>31</v>
      </c>
      <c r="W91">
        <v>1.77</v>
      </c>
      <c r="X91">
        <v>3</v>
      </c>
      <c r="Y91">
        <v>4</v>
      </c>
      <c r="Z91">
        <v>21</v>
      </c>
      <c r="AA91">
        <v>53</v>
      </c>
      <c r="AB91">
        <v>28</v>
      </c>
    </row>
    <row r="92" spans="1:28" x14ac:dyDescent="0.35">
      <c r="A92" t="s">
        <v>257</v>
      </c>
      <c r="B92" t="s">
        <v>258</v>
      </c>
      <c r="C92">
        <v>47</v>
      </c>
      <c r="D92" t="s">
        <v>24</v>
      </c>
      <c r="E92" t="s">
        <v>25</v>
      </c>
      <c r="F92" t="s">
        <v>26</v>
      </c>
      <c r="G92" s="1">
        <v>43932</v>
      </c>
      <c r="I92" s="9">
        <f ca="1">DATEDIF(G92,IF(H92="",TODAY(),H92),"Y")+DATEDIF(G92,IF(H92="",TODAY(),H92),"Ym")/12</f>
        <v>6.333333333333333</v>
      </c>
      <c r="J92" s="7" cm="1">
        <f t="array" aca="1" ref="J92" ca="1">IF(ISNUMBER(I92), I92, DAY (I92) + HOUR (I92)/24)</f>
        <v>6.333333333333333</v>
      </c>
      <c r="K92" t="str">
        <f ca="1">IF(I92&lt;1,"0-1 yr", IF(I92&lt;3,"0-3 Yrs", IF(I92&lt;5, "3-5 yrs","5+Yrs")))</f>
        <v>5+Yrs</v>
      </c>
      <c r="L92" t="str">
        <f ca="1">IF(M92&lt;&gt;"Left","",IF(Z92&gt;20,"Work-Life Balance",IF(OR(X92&lt;=2,Y92&lt;=2),"Work Culture",IF(Q92&lt;AVERAGEIFS($Q$2:$Q$201,$E$2:$E$201,E92),"Better Salary",IF(IFERROR(DATEDIF(V92,IF(H92="",TODAY(),H92),"y"),0)&gt;=3,"Career Growth","Better Opportunity")))))</f>
        <v/>
      </c>
      <c r="M92" t="s">
        <v>27</v>
      </c>
      <c r="N92" t="s">
        <v>28</v>
      </c>
      <c r="O92">
        <f t="shared" si="4"/>
        <v>7.1577500000000001</v>
      </c>
      <c r="P92" t="str">
        <f t="shared" si="5"/>
        <v>6L-8L</v>
      </c>
      <c r="Q92">
        <v>715775</v>
      </c>
      <c r="R92">
        <v>3</v>
      </c>
      <c r="S92" t="s">
        <v>77</v>
      </c>
      <c r="T92" t="s">
        <v>43</v>
      </c>
      <c r="U92" t="s">
        <v>38</v>
      </c>
      <c r="V92" s="1">
        <v>45430</v>
      </c>
      <c r="W92">
        <v>6.38</v>
      </c>
      <c r="X92">
        <v>4</v>
      </c>
      <c r="Y92">
        <v>3</v>
      </c>
      <c r="Z92">
        <v>24</v>
      </c>
      <c r="AA92">
        <v>28</v>
      </c>
      <c r="AB92">
        <v>14</v>
      </c>
    </row>
    <row r="93" spans="1:28" x14ac:dyDescent="0.35">
      <c r="A93" t="s">
        <v>395</v>
      </c>
      <c r="B93" t="s">
        <v>396</v>
      </c>
      <c r="C93">
        <v>43</v>
      </c>
      <c r="D93" t="s">
        <v>24</v>
      </c>
      <c r="E93" t="s">
        <v>34</v>
      </c>
      <c r="F93" t="s">
        <v>47</v>
      </c>
      <c r="G93" s="1">
        <v>45252</v>
      </c>
      <c r="H93" s="1">
        <v>45733</v>
      </c>
      <c r="I93" s="9">
        <f ca="1">DATEDIF(G93,IF(H93="",TODAY(),H93),"Y")+DATEDIF(G93,IF(H93="",TODAY(),H93),"Ym")/12</f>
        <v>1.25</v>
      </c>
      <c r="J93" s="7" cm="1">
        <f t="array" aca="1" ref="J93" ca="1">IF(ISNUMBER(I93), I93, DAY (I93) + HOUR (I93)/24)</f>
        <v>1.25</v>
      </c>
      <c r="K93" s="1" t="str">
        <f ca="1">IF(I93&lt;1,"0-1 yr", IF(I93&lt;3,"0-3 Yrs", IF(I93&lt;5, "3-5 yrs","5+Yrs")))</f>
        <v>0-3 Yrs</v>
      </c>
      <c r="L93" t="str">
        <f ca="1">IF(M93&lt;&gt;"Left","",IF(Z93&gt;20,"Work-Life Balance",IF(OR(X93&lt;=2,Y93&lt;=2),"Work Culture",IF(Q93&lt;AVERAGEIFS($Q$2:$Q$201,$E$2:$E$201,E93),"Better Salary",IF(IFERROR(DATEDIF(V93,IF(H93="",TODAY(),H93),"y"),0)&gt;=3,"Career Growth","Better Opportunity")))))</f>
        <v>Better Salary</v>
      </c>
      <c r="M93" t="s">
        <v>69</v>
      </c>
      <c r="N93" t="s">
        <v>70</v>
      </c>
      <c r="O93">
        <f t="shared" si="4"/>
        <v>7.2100999999999997</v>
      </c>
      <c r="P93" t="str">
        <f t="shared" si="5"/>
        <v>6L-8L</v>
      </c>
      <c r="Q93">
        <v>721010</v>
      </c>
      <c r="R93">
        <v>3</v>
      </c>
      <c r="S93" t="s">
        <v>98</v>
      </c>
      <c r="T93" t="s">
        <v>43</v>
      </c>
      <c r="U93" t="s">
        <v>44</v>
      </c>
      <c r="V93" s="1">
        <v>45865</v>
      </c>
      <c r="W93">
        <v>1.32</v>
      </c>
      <c r="X93">
        <v>5</v>
      </c>
      <c r="Y93">
        <v>3</v>
      </c>
      <c r="Z93">
        <v>13</v>
      </c>
      <c r="AA93">
        <v>34</v>
      </c>
      <c r="AB93">
        <v>39</v>
      </c>
    </row>
    <row r="94" spans="1:28" x14ac:dyDescent="0.35">
      <c r="A94" t="s">
        <v>171</v>
      </c>
      <c r="B94" t="s">
        <v>172</v>
      </c>
      <c r="C94">
        <v>23</v>
      </c>
      <c r="D94" t="s">
        <v>41</v>
      </c>
      <c r="E94" t="s">
        <v>34</v>
      </c>
      <c r="F94" t="s">
        <v>51</v>
      </c>
      <c r="G94" s="1">
        <v>43180</v>
      </c>
      <c r="H94" s="1">
        <v>44547</v>
      </c>
      <c r="I94" s="9">
        <f ca="1">DATEDIF(G94,IF(H94="",TODAY(),H94),"Y")+DATEDIF(G94,IF(H94="",TODAY(),H94),"Ym")/12</f>
        <v>3.6666666666666665</v>
      </c>
      <c r="J94" s="7" cm="1">
        <f t="array" aca="1" ref="J94" ca="1">IF(ISNUMBER(I94), I94, DAY (I94) + HOUR (I94)/24)</f>
        <v>3.6666666666666665</v>
      </c>
      <c r="K94" s="1" t="str">
        <f ca="1">IF(I94&lt;1,"0-1 yr", IF(I94&lt;3,"0-3 Yrs", IF(I94&lt;5, "3-5 yrs","5+Yrs")))</f>
        <v>3-5 yrs</v>
      </c>
      <c r="L94" t="str">
        <f ca="1">IF(M94&lt;&gt;"Left","",IF(Z94&gt;20,"Work-Life Balance",IF(OR(X94&lt;=2,Y94&lt;=2),"Work Culture",IF(Q94&lt;AVERAGEIFS($Q$2:$Q$201,$E$2:$E$201,E94),"Better Salary",IF(IFERROR(DATEDIF(V94,IF(H94="",TODAY(),H94),"y"),0)&gt;=3,"Career Growth","Better Opportunity")))))</f>
        <v>Work Culture</v>
      </c>
      <c r="M94" t="s">
        <v>69</v>
      </c>
      <c r="N94" t="s">
        <v>70</v>
      </c>
      <c r="O94">
        <f t="shared" si="4"/>
        <v>7.2261300000000004</v>
      </c>
      <c r="P94" t="str">
        <f t="shared" si="5"/>
        <v>6L-8L</v>
      </c>
      <c r="Q94">
        <v>722613</v>
      </c>
      <c r="R94">
        <v>4</v>
      </c>
      <c r="S94" t="s">
        <v>52</v>
      </c>
      <c r="T94" t="s">
        <v>43</v>
      </c>
      <c r="U94" t="s">
        <v>44</v>
      </c>
      <c r="V94" s="1">
        <v>45289</v>
      </c>
      <c r="W94">
        <v>3.74</v>
      </c>
      <c r="X94">
        <v>4</v>
      </c>
      <c r="Y94">
        <v>2</v>
      </c>
      <c r="Z94">
        <v>5</v>
      </c>
      <c r="AA94">
        <v>36</v>
      </c>
      <c r="AB94">
        <v>5</v>
      </c>
    </row>
    <row r="95" spans="1:28" x14ac:dyDescent="0.35">
      <c r="A95" t="s">
        <v>312</v>
      </c>
      <c r="B95" t="s">
        <v>313</v>
      </c>
      <c r="C95">
        <v>22</v>
      </c>
      <c r="D95" t="s">
        <v>24</v>
      </c>
      <c r="E95" t="s">
        <v>64</v>
      </c>
      <c r="F95" t="s">
        <v>83</v>
      </c>
      <c r="G95" s="1">
        <v>44592</v>
      </c>
      <c r="H95" s="1">
        <v>45048</v>
      </c>
      <c r="I95" s="9">
        <f ca="1">DATEDIF(G95,IF(H95="",TODAY(),H95),"Y")+DATEDIF(G95,IF(H95="",TODAY(),H95),"Ym")/12</f>
        <v>1.25</v>
      </c>
      <c r="J95" s="7" cm="1">
        <f t="array" aca="1" ref="J95" ca="1">IF(ISNUMBER(I95), I95, DAY (I95) + HOUR (I95)/24)</f>
        <v>1.25</v>
      </c>
      <c r="K95" s="1" t="str">
        <f ca="1">IF(I95&lt;1,"0-1 yr", IF(I95&lt;3,"0-3 Yrs", IF(I95&lt;5, "3-5 yrs","5+Yrs")))</f>
        <v>0-3 Yrs</v>
      </c>
      <c r="L95" t="str">
        <f ca="1">IF(M95&lt;&gt;"Left","",IF(Z95&gt;20,"Work-Life Balance",IF(OR(X95&lt;=2,Y95&lt;=2),"Work Culture",IF(Q95&lt;AVERAGEIFS($Q$2:$Q$201,$E$2:$E$201,E95),"Better Salary",IF(IFERROR(DATEDIF(V95,IF(H95="",TODAY(),H95),"y"),0)&gt;=3,"Career Growth","Better Opportunity")))))</f>
        <v>Work-Life Balance</v>
      </c>
      <c r="M95" t="s">
        <v>69</v>
      </c>
      <c r="N95" t="s">
        <v>70</v>
      </c>
      <c r="O95">
        <f t="shared" si="4"/>
        <v>7.25108</v>
      </c>
      <c r="P95" t="str">
        <f t="shared" si="5"/>
        <v>6L-8L</v>
      </c>
      <c r="Q95">
        <v>725108</v>
      </c>
      <c r="R95">
        <v>2</v>
      </c>
      <c r="S95" t="s">
        <v>52</v>
      </c>
      <c r="T95" t="s">
        <v>30</v>
      </c>
      <c r="U95" t="s">
        <v>84</v>
      </c>
      <c r="W95">
        <v>1.25</v>
      </c>
      <c r="X95">
        <v>2</v>
      </c>
      <c r="Y95">
        <v>1</v>
      </c>
      <c r="Z95">
        <v>24</v>
      </c>
      <c r="AA95">
        <v>63</v>
      </c>
      <c r="AB95">
        <v>28</v>
      </c>
    </row>
    <row r="96" spans="1:28" x14ac:dyDescent="0.35">
      <c r="A96" t="s">
        <v>170</v>
      </c>
      <c r="B96" t="s">
        <v>169</v>
      </c>
      <c r="C96">
        <v>53</v>
      </c>
      <c r="D96" t="s">
        <v>41</v>
      </c>
      <c r="E96" t="s">
        <v>56</v>
      </c>
      <c r="F96" t="s">
        <v>93</v>
      </c>
      <c r="G96" s="1">
        <v>43159</v>
      </c>
      <c r="I96" s="9">
        <f ca="1">DATEDIF(G96,IF(H96="",TODAY(),H96),"Y")+DATEDIF(G96,IF(H96="",TODAY(),H96),"Ym")/12</f>
        <v>8.5</v>
      </c>
      <c r="J96" s="7" cm="1">
        <f t="array" aca="1" ref="J96" ca="1">IF(ISNUMBER(I96), I96, DAY (I96) + HOUR (I96)/24)</f>
        <v>8.5</v>
      </c>
      <c r="K96" t="str">
        <f ca="1">IF(I96&lt;1,"0-1 yr", IF(I96&lt;3,"0-3 Yrs", IF(I96&lt;5, "3-5 yrs","5+Yrs")))</f>
        <v>5+Yrs</v>
      </c>
      <c r="L96" t="str">
        <f ca="1">IF(M96&lt;&gt;"Left","",IF(Z96&gt;20,"Work-Life Balance",IF(OR(X96&lt;=2,Y96&lt;=2),"Work Culture",IF(Q96&lt;AVERAGEIFS($Q$2:$Q$201,$E$2:$E$201,E96),"Better Salary",IF(IFERROR(DATEDIF(V96,IF(H96="",TODAY(),H96),"y"),0)&gt;=3,"Career Growth","Better Opportunity")))))</f>
        <v/>
      </c>
      <c r="M96" t="s">
        <v>27</v>
      </c>
      <c r="N96" t="s">
        <v>28</v>
      </c>
      <c r="O96">
        <f t="shared" si="4"/>
        <v>7.2810899999999998</v>
      </c>
      <c r="P96" t="str">
        <f t="shared" si="5"/>
        <v>6L-8L</v>
      </c>
      <c r="Q96">
        <v>728109</v>
      </c>
      <c r="R96">
        <v>4</v>
      </c>
      <c r="S96" t="s">
        <v>73</v>
      </c>
      <c r="T96" t="s">
        <v>37</v>
      </c>
      <c r="U96" t="s">
        <v>87</v>
      </c>
      <c r="V96" s="1">
        <v>46056</v>
      </c>
      <c r="W96">
        <v>8.5</v>
      </c>
      <c r="X96">
        <v>3</v>
      </c>
      <c r="Y96">
        <v>1</v>
      </c>
      <c r="Z96">
        <v>12</v>
      </c>
      <c r="AA96">
        <v>19</v>
      </c>
      <c r="AB96">
        <v>44</v>
      </c>
    </row>
    <row r="97" spans="1:28" x14ac:dyDescent="0.35">
      <c r="A97" t="s">
        <v>195</v>
      </c>
      <c r="B97" t="s">
        <v>196</v>
      </c>
      <c r="C97">
        <v>35</v>
      </c>
      <c r="D97" t="s">
        <v>41</v>
      </c>
      <c r="E97" t="s">
        <v>34</v>
      </c>
      <c r="F97" t="s">
        <v>47</v>
      </c>
      <c r="G97" s="1">
        <v>43415</v>
      </c>
      <c r="I97" s="9">
        <f ca="1">DATEDIF(G97,IF(H97="",TODAY(),H97),"Y")+DATEDIF(G97,IF(H97="",TODAY(),H97),"Ym")/12</f>
        <v>7.75</v>
      </c>
      <c r="J97" s="7" cm="1">
        <f t="array" aca="1" ref="J97" ca="1">IF(ISNUMBER(I97), I97, DAY (I97) + HOUR (I97)/24)</f>
        <v>7.75</v>
      </c>
      <c r="K97" t="str">
        <f ca="1">IF(I97&lt;1,"0-1 yr", IF(I97&lt;3,"0-3 Yrs", IF(I97&lt;5, "3-5 yrs","5+Yrs")))</f>
        <v>5+Yrs</v>
      </c>
      <c r="L97" t="str">
        <f ca="1">IF(M97&lt;&gt;"Left","",IF(Z97&gt;20,"Work-Life Balance",IF(OR(X97&lt;=2,Y97&lt;=2),"Work Culture",IF(Q97&lt;AVERAGEIFS($Q$2:$Q$201,$E$2:$E$201,E97),"Better Salary",IF(IFERROR(DATEDIF(V97,IF(H97="",TODAY(),H97),"y"),0)&gt;=3,"Career Growth","Better Opportunity")))))</f>
        <v/>
      </c>
      <c r="M97" t="s">
        <v>27</v>
      </c>
      <c r="N97" t="s">
        <v>28</v>
      </c>
      <c r="O97">
        <f t="shared" si="4"/>
        <v>7.34598</v>
      </c>
      <c r="P97" t="str">
        <f t="shared" si="5"/>
        <v>6L-8L</v>
      </c>
      <c r="Q97">
        <v>734598</v>
      </c>
      <c r="R97">
        <v>4</v>
      </c>
      <c r="S97" t="s">
        <v>98</v>
      </c>
      <c r="T97" t="s">
        <v>43</v>
      </c>
      <c r="U97" t="s">
        <v>31</v>
      </c>
      <c r="W97">
        <v>7.8</v>
      </c>
      <c r="X97">
        <v>2</v>
      </c>
      <c r="Y97">
        <v>3</v>
      </c>
      <c r="Z97">
        <v>4</v>
      </c>
      <c r="AA97">
        <v>9</v>
      </c>
      <c r="AB97">
        <v>20</v>
      </c>
    </row>
    <row r="98" spans="1:28" x14ac:dyDescent="0.35">
      <c r="A98" t="s">
        <v>88</v>
      </c>
      <c r="B98" t="s">
        <v>86</v>
      </c>
      <c r="C98">
        <v>38</v>
      </c>
      <c r="D98" t="s">
        <v>24</v>
      </c>
      <c r="E98" t="s">
        <v>89</v>
      </c>
      <c r="F98" t="s">
        <v>90</v>
      </c>
      <c r="G98" s="1">
        <v>42334</v>
      </c>
      <c r="I98" s="9">
        <f ca="1">DATEDIF(G98,IF(H98="",TODAY(),H98),"Y")+DATEDIF(G98,IF(H98="",TODAY(),H98),"Ym")/12</f>
        <v>10.75</v>
      </c>
      <c r="J98" s="7" cm="1">
        <f t="array" aca="1" ref="J98" ca="1">IF(ISNUMBER(I98), I98, DAY (I98) + HOUR (I98)/24)</f>
        <v>10.75</v>
      </c>
      <c r="K98" t="str">
        <f ca="1">IF(I98&lt;1,"0-1 yr", IF(I98&lt;3,"0-3 Yrs", IF(I98&lt;5, "3-5 yrs","5+Yrs")))</f>
        <v>5+Yrs</v>
      </c>
      <c r="L98" t="str">
        <f ca="1">IF(M98&lt;&gt;"Left","",IF(Z98&gt;20,"Work-Life Balance",IF(OR(X98&lt;=2,Y98&lt;=2),"Work Culture",IF(Q98&lt;AVERAGEIFS($Q$2:$Q$201,$E$2:$E$201,E98),"Better Salary",IF(IFERROR(DATEDIF(V98,IF(H98="",TODAY(),H98),"y"),0)&gt;=3,"Career Growth","Better Opportunity")))))</f>
        <v/>
      </c>
      <c r="M98" t="s">
        <v>27</v>
      </c>
      <c r="N98" t="s">
        <v>28</v>
      </c>
      <c r="O98">
        <f t="shared" ref="O98:O129" si="6">Q98*1/100000</f>
        <v>7.3959700000000002</v>
      </c>
      <c r="P98" t="str">
        <f t="shared" ref="P98:P129" si="7">IF(Q98*1&lt;600000,"3L-6L",IF(Q98*1&lt;800000,"6L-8L",IF(Q98*1&lt;1000000,"8L-10L",IF(Q98*1&lt;1200000,"10L-12L",IF(Q98*1&lt;1500000,"12L-15L",IF(Q98*1&lt;2000000,"15L-20L","20L-30L"))))))</f>
        <v>6L-8L</v>
      </c>
      <c r="Q98">
        <v>739597</v>
      </c>
      <c r="R98">
        <v>4</v>
      </c>
      <c r="S98" t="s">
        <v>73</v>
      </c>
      <c r="T98" t="s">
        <v>30</v>
      </c>
      <c r="U98" t="s">
        <v>38</v>
      </c>
      <c r="W98">
        <v>10.76</v>
      </c>
      <c r="X98">
        <v>2</v>
      </c>
      <c r="Y98">
        <v>5</v>
      </c>
      <c r="Z98">
        <v>15</v>
      </c>
      <c r="AA98">
        <v>43</v>
      </c>
      <c r="AB98">
        <v>30</v>
      </c>
    </row>
    <row r="99" spans="1:28" x14ac:dyDescent="0.35">
      <c r="A99" t="s">
        <v>193</v>
      </c>
      <c r="B99" t="s">
        <v>194</v>
      </c>
      <c r="C99">
        <v>53</v>
      </c>
      <c r="D99" t="s">
        <v>24</v>
      </c>
      <c r="E99" t="s">
        <v>64</v>
      </c>
      <c r="F99" t="s">
        <v>145</v>
      </c>
      <c r="G99" s="1">
        <v>43360</v>
      </c>
      <c r="I99" s="9">
        <f ca="1">DATEDIF(G99,IF(H99="",TODAY(),H99),"Y")+DATEDIF(G99,IF(H99="",TODAY(),H99),"Ym")/12</f>
        <v>7.916666666666667</v>
      </c>
      <c r="J99" s="7" cm="1">
        <f t="array" aca="1" ref="J99" ca="1">IF(ISNUMBER(I99), I99, DAY (I99) + HOUR (I99)/24)</f>
        <v>7.916666666666667</v>
      </c>
      <c r="K99" t="str">
        <f ca="1">IF(I99&lt;1,"0-1 yr", IF(I99&lt;3,"0-3 Yrs", IF(I99&lt;5, "3-5 yrs","5+Yrs")))</f>
        <v>5+Yrs</v>
      </c>
      <c r="L99" t="str">
        <f ca="1">IF(M99&lt;&gt;"Left","",IF(Z99&gt;20,"Work-Life Balance",IF(OR(X99&lt;=2,Y99&lt;=2),"Work Culture",IF(Q99&lt;AVERAGEIFS($Q$2:$Q$201,$E$2:$E$201,E99),"Better Salary",IF(IFERROR(DATEDIF(V99,IF(H99="",TODAY(),H99),"y"),0)&gt;=3,"Career Growth","Better Opportunity")))))</f>
        <v/>
      </c>
      <c r="M99" t="s">
        <v>27</v>
      </c>
      <c r="N99" t="s">
        <v>28</v>
      </c>
      <c r="O99">
        <f t="shared" si="6"/>
        <v>7.3987699999999998</v>
      </c>
      <c r="P99" t="str">
        <f t="shared" si="7"/>
        <v>6L-8L</v>
      </c>
      <c r="Q99">
        <v>739877</v>
      </c>
      <c r="R99">
        <v>5</v>
      </c>
      <c r="S99" t="s">
        <v>36</v>
      </c>
      <c r="T99" t="s">
        <v>43</v>
      </c>
      <c r="U99" t="s">
        <v>31</v>
      </c>
      <c r="V99" s="1">
        <v>45319</v>
      </c>
      <c r="W99">
        <v>7.95</v>
      </c>
      <c r="X99">
        <v>4</v>
      </c>
      <c r="Y99">
        <v>1</v>
      </c>
      <c r="Z99">
        <v>12</v>
      </c>
      <c r="AA99">
        <v>34</v>
      </c>
      <c r="AB99">
        <v>17</v>
      </c>
    </row>
    <row r="100" spans="1:28" x14ac:dyDescent="0.35">
      <c r="A100" t="s">
        <v>179</v>
      </c>
      <c r="B100" t="s">
        <v>180</v>
      </c>
      <c r="C100">
        <v>30</v>
      </c>
      <c r="D100" t="s">
        <v>41</v>
      </c>
      <c r="E100" t="s">
        <v>64</v>
      </c>
      <c r="F100" t="s">
        <v>65</v>
      </c>
      <c r="G100" s="1">
        <v>43227</v>
      </c>
      <c r="I100" s="9">
        <f ca="1">DATEDIF(G100,IF(H100="",TODAY(),H100),"Y")+DATEDIF(G100,IF(H100="",TODAY(),H100),"Ym")/12</f>
        <v>8.25</v>
      </c>
      <c r="J100" s="7" cm="1">
        <f t="array" aca="1" ref="J100" ca="1">IF(ISNUMBER(I100), I100, DAY (I100) + HOUR (I100)/24)</f>
        <v>8.25</v>
      </c>
      <c r="K100" t="str">
        <f ca="1">IF(I100&lt;1,"0-1 yr", IF(I100&lt;3,"0-3 Yrs", IF(I100&lt;5, "3-5 yrs","5+Yrs")))</f>
        <v>5+Yrs</v>
      </c>
      <c r="L100" t="str">
        <f ca="1">IF(M100&lt;&gt;"Left","",IF(Z100&gt;20,"Work-Life Balance",IF(OR(X100&lt;=2,Y100&lt;=2),"Work Culture",IF(Q100&lt;AVERAGEIFS($Q$2:$Q$201,$E$2:$E$201,E100),"Better Salary",IF(IFERROR(DATEDIF(V100,IF(H100="",TODAY(),H100),"y"),0)&gt;=3,"Career Growth","Better Opportunity")))))</f>
        <v/>
      </c>
      <c r="M100" t="s">
        <v>27</v>
      </c>
      <c r="N100" t="s">
        <v>28</v>
      </c>
      <c r="O100">
        <f t="shared" si="6"/>
        <v>7.5055899999999998</v>
      </c>
      <c r="P100" t="str">
        <f t="shared" si="7"/>
        <v>6L-8L</v>
      </c>
      <c r="Q100">
        <v>750559</v>
      </c>
      <c r="R100">
        <v>4</v>
      </c>
      <c r="S100" t="s">
        <v>29</v>
      </c>
      <c r="T100" t="s">
        <v>43</v>
      </c>
      <c r="U100" t="s">
        <v>87</v>
      </c>
      <c r="V100" s="1">
        <v>45080</v>
      </c>
      <c r="W100">
        <v>8.31</v>
      </c>
      <c r="X100">
        <v>3</v>
      </c>
      <c r="Y100">
        <v>2</v>
      </c>
      <c r="Z100">
        <v>5</v>
      </c>
      <c r="AA100">
        <v>39</v>
      </c>
      <c r="AB100">
        <v>31</v>
      </c>
    </row>
    <row r="101" spans="1:28" x14ac:dyDescent="0.35">
      <c r="A101" t="s">
        <v>283</v>
      </c>
      <c r="B101" t="s">
        <v>284</v>
      </c>
      <c r="C101">
        <v>54</v>
      </c>
      <c r="D101" t="s">
        <v>41</v>
      </c>
      <c r="E101" t="s">
        <v>89</v>
      </c>
      <c r="F101" t="s">
        <v>101</v>
      </c>
      <c r="G101" s="1">
        <v>44294</v>
      </c>
      <c r="I101" s="9">
        <f ca="1">DATEDIF(G101,IF(H101="",TODAY(),H101),"Y")+DATEDIF(G101,IF(H101="",TODAY(),H101),"Ym")/12</f>
        <v>5.333333333333333</v>
      </c>
      <c r="J101" s="7" cm="1">
        <f t="array" aca="1" ref="J101" ca="1">IF(ISNUMBER(I101), I101, DAY (I101) + HOUR (I101)/24)</f>
        <v>5.333333333333333</v>
      </c>
      <c r="K101" t="str">
        <f ca="1">IF(I101&lt;1,"0-1 yr", IF(I101&lt;3,"0-3 Yrs", IF(I101&lt;5, "3-5 yrs","5+Yrs")))</f>
        <v>5+Yrs</v>
      </c>
      <c r="L101" t="str">
        <f ca="1">IF(M101&lt;&gt;"Left","",IF(Z101&gt;20,"Work-Life Balance",IF(OR(X101&lt;=2,Y101&lt;=2),"Work Culture",IF(Q101&lt;AVERAGEIFS($Q$2:$Q$201,$E$2:$E$201,E101),"Better Salary",IF(IFERROR(DATEDIF(V101,IF(H101="",TODAY(),H101),"y"),0)&gt;=3,"Career Growth","Better Opportunity")))))</f>
        <v/>
      </c>
      <c r="M101" t="s">
        <v>27</v>
      </c>
      <c r="N101" t="s">
        <v>28</v>
      </c>
      <c r="O101">
        <f t="shared" si="6"/>
        <v>7.63293</v>
      </c>
      <c r="P101" t="str">
        <f t="shared" si="7"/>
        <v>6L-8L</v>
      </c>
      <c r="Q101">
        <v>763293</v>
      </c>
      <c r="R101">
        <v>4</v>
      </c>
      <c r="S101" t="s">
        <v>48</v>
      </c>
      <c r="T101" t="s">
        <v>43</v>
      </c>
      <c r="U101" t="s">
        <v>44</v>
      </c>
      <c r="W101">
        <v>5.39</v>
      </c>
      <c r="X101">
        <v>3</v>
      </c>
      <c r="Y101">
        <v>1</v>
      </c>
      <c r="Z101">
        <v>11</v>
      </c>
      <c r="AA101">
        <v>49</v>
      </c>
      <c r="AB101">
        <v>33</v>
      </c>
    </row>
    <row r="102" spans="1:28" x14ac:dyDescent="0.35">
      <c r="A102" t="s">
        <v>162</v>
      </c>
      <c r="B102" t="s">
        <v>163</v>
      </c>
      <c r="C102">
        <v>50</v>
      </c>
      <c r="D102" t="s">
        <v>41</v>
      </c>
      <c r="E102" t="s">
        <v>56</v>
      </c>
      <c r="F102" t="s">
        <v>57</v>
      </c>
      <c r="G102" s="1">
        <v>43008</v>
      </c>
      <c r="H102" s="1">
        <v>43397</v>
      </c>
      <c r="I102" s="9">
        <f ca="1">DATEDIF(G102,IF(H102="",TODAY(),H102),"Y")+DATEDIF(G102,IF(H102="",TODAY(),H102),"Ym")/12</f>
        <v>1</v>
      </c>
      <c r="J102" s="7" cm="1">
        <f t="array" aca="1" ref="J102" ca="1">IF(ISNUMBER(I102), I102, DAY (I102) + HOUR (I102)/24)</f>
        <v>1</v>
      </c>
      <c r="K102" s="1" t="str">
        <f ca="1">IF(I102&lt;1,"0-1 yr", IF(I102&lt;3,"0-3 Yrs", IF(I102&lt;5, "3-5 yrs","5+Yrs")))</f>
        <v>0-3 Yrs</v>
      </c>
      <c r="L102" t="str">
        <f ca="1">IF(M102&lt;&gt;"Left","",IF(Z102&gt;20,"Work-Life Balance",IF(OR(X102&lt;=2,Y102&lt;=2),"Work Culture",IF(Q102&lt;AVERAGEIFS($Q$2:$Q$201,$E$2:$E$201,E102),"Better Salary",IF(IFERROR(DATEDIF(V102,IF(H102="",TODAY(),H102),"y"),0)&gt;=3,"Career Growth","Better Opportunity")))))</f>
        <v>Work Culture</v>
      </c>
      <c r="M102" t="s">
        <v>69</v>
      </c>
      <c r="N102" t="s">
        <v>70</v>
      </c>
      <c r="O102">
        <f t="shared" si="6"/>
        <v>7.7828200000000001</v>
      </c>
      <c r="P102" t="str">
        <f t="shared" si="7"/>
        <v>6L-8L</v>
      </c>
      <c r="Q102">
        <v>778282</v>
      </c>
      <c r="R102">
        <v>4</v>
      </c>
      <c r="S102" t="s">
        <v>48</v>
      </c>
      <c r="T102" t="s">
        <v>37</v>
      </c>
      <c r="U102" t="s">
        <v>31</v>
      </c>
      <c r="W102">
        <v>1.07</v>
      </c>
      <c r="X102">
        <v>1</v>
      </c>
      <c r="Y102">
        <v>1</v>
      </c>
      <c r="Z102">
        <v>6</v>
      </c>
      <c r="AA102">
        <v>79</v>
      </c>
      <c r="AB102">
        <v>12</v>
      </c>
    </row>
    <row r="103" spans="1:28" x14ac:dyDescent="0.35">
      <c r="A103" t="s">
        <v>304</v>
      </c>
      <c r="B103" t="s">
        <v>305</v>
      </c>
      <c r="C103">
        <v>49</v>
      </c>
      <c r="D103" t="s">
        <v>24</v>
      </c>
      <c r="E103" t="s">
        <v>64</v>
      </c>
      <c r="F103" t="s">
        <v>83</v>
      </c>
      <c r="G103" s="1">
        <v>44525</v>
      </c>
      <c r="H103" s="1">
        <v>44867</v>
      </c>
      <c r="I103" s="9">
        <f ca="1">DATEDIF(G103,IF(H103="",TODAY(),H103),"Y")+DATEDIF(G103,IF(H103="",TODAY(),H103),"Ym")/12</f>
        <v>0.91666666666666663</v>
      </c>
      <c r="J103" s="7" cm="1">
        <f t="array" aca="1" ref="J103" ca="1">IF(ISNUMBER(I103), I103, DAY (I103) + HOUR (I103)/24)</f>
        <v>0.91666666666666663</v>
      </c>
      <c r="K103" s="1" t="str">
        <f ca="1">IF(I103&lt;1,"0-1 yr", IF(I103&lt;3,"0-3 Yrs", IF(I103&lt;5, "3-5 yrs","5+Yrs")))</f>
        <v>0-1 yr</v>
      </c>
      <c r="L103" t="str">
        <f ca="1">IF(M103&lt;&gt;"Left","",IF(Z103&gt;20,"Work-Life Balance",IF(OR(X103&lt;=2,Y103&lt;=2),"Work Culture",IF(Q103&lt;AVERAGEIFS($Q$2:$Q$201,$E$2:$E$201,E103),"Better Salary",IF(IFERROR(DATEDIF(V103,IF(H103="",TODAY(),H103),"y"),0)&gt;=3,"Career Growth","Better Opportunity")))))</f>
        <v>Work-Life Balance</v>
      </c>
      <c r="M103" t="s">
        <v>69</v>
      </c>
      <c r="N103" t="s">
        <v>70</v>
      </c>
      <c r="O103">
        <f t="shared" si="6"/>
        <v>7.7999799999999997</v>
      </c>
      <c r="P103" t="str">
        <f t="shared" si="7"/>
        <v>6L-8L</v>
      </c>
      <c r="Q103">
        <v>779998</v>
      </c>
      <c r="R103">
        <v>1</v>
      </c>
      <c r="S103" t="s">
        <v>77</v>
      </c>
      <c r="T103" t="s">
        <v>30</v>
      </c>
      <c r="U103" t="s">
        <v>84</v>
      </c>
      <c r="V103" s="1">
        <v>45131</v>
      </c>
      <c r="W103">
        <v>0.94</v>
      </c>
      <c r="X103">
        <v>2</v>
      </c>
      <c r="Y103">
        <v>3</v>
      </c>
      <c r="Z103">
        <v>21</v>
      </c>
      <c r="AA103">
        <v>67</v>
      </c>
      <c r="AB103">
        <v>18</v>
      </c>
    </row>
    <row r="104" spans="1:28" x14ac:dyDescent="0.35">
      <c r="A104" t="s">
        <v>300</v>
      </c>
      <c r="B104" t="s">
        <v>301</v>
      </c>
      <c r="C104">
        <v>26</v>
      </c>
      <c r="D104" t="s">
        <v>24</v>
      </c>
      <c r="E104" t="s">
        <v>34</v>
      </c>
      <c r="F104" t="s">
        <v>51</v>
      </c>
      <c r="G104" s="1">
        <v>44472</v>
      </c>
      <c r="I104" s="9">
        <f ca="1">DATEDIF(G104,IF(H104="",TODAY(),H104),"Y")+DATEDIF(G104,IF(H104="",TODAY(),H104),"Ym")/12</f>
        <v>4.916666666666667</v>
      </c>
      <c r="J104" s="7" cm="1">
        <f t="array" aca="1" ref="J104" ca="1">IF(ISNUMBER(I104), I104, DAY (I104) + HOUR (I104)/24)</f>
        <v>4.916666666666667</v>
      </c>
      <c r="K104" t="str">
        <f ca="1">IF(I104&lt;1,"0-1 yr", IF(I104&lt;3,"0-3 Yrs", IF(I104&lt;5, "3-5 yrs","5+Yrs")))</f>
        <v>3-5 yrs</v>
      </c>
      <c r="L104" t="str">
        <f ca="1">IF(M104&lt;&gt;"Left","",IF(Z104&gt;20,"Work-Life Balance",IF(OR(X104&lt;=2,Y104&lt;=2),"Work Culture",IF(Q104&lt;AVERAGEIFS($Q$2:$Q$201,$E$2:$E$201,E104),"Better Salary",IF(IFERROR(DATEDIF(V104,IF(H104="",TODAY(),H104),"y"),0)&gt;=3,"Career Growth","Better Opportunity")))))</f>
        <v/>
      </c>
      <c r="M104" t="s">
        <v>27</v>
      </c>
      <c r="N104" t="s">
        <v>28</v>
      </c>
      <c r="O104">
        <f t="shared" si="6"/>
        <v>7.8071400000000004</v>
      </c>
      <c r="P104" t="str">
        <f t="shared" si="7"/>
        <v>6L-8L</v>
      </c>
      <c r="Q104">
        <v>780714</v>
      </c>
      <c r="R104">
        <v>3</v>
      </c>
      <c r="S104" t="s">
        <v>48</v>
      </c>
      <c r="T104" t="s">
        <v>30</v>
      </c>
      <c r="U104" t="s">
        <v>84</v>
      </c>
      <c r="V104" s="1">
        <v>44982</v>
      </c>
      <c r="W104">
        <v>4.91</v>
      </c>
      <c r="X104">
        <v>3</v>
      </c>
      <c r="Y104">
        <v>4</v>
      </c>
      <c r="Z104">
        <v>20</v>
      </c>
      <c r="AA104">
        <v>27</v>
      </c>
      <c r="AB104">
        <v>38</v>
      </c>
    </row>
    <row r="105" spans="1:28" x14ac:dyDescent="0.35">
      <c r="A105" t="s">
        <v>393</v>
      </c>
      <c r="B105" t="s">
        <v>394</v>
      </c>
      <c r="C105">
        <v>44</v>
      </c>
      <c r="D105" t="s">
        <v>24</v>
      </c>
      <c r="E105" t="s">
        <v>56</v>
      </c>
      <c r="F105" t="s">
        <v>57</v>
      </c>
      <c r="G105" s="1">
        <v>45251</v>
      </c>
      <c r="I105" s="9">
        <f ca="1">DATEDIF(G105,IF(H105="",TODAY(),H105),"Y")+DATEDIF(G105,IF(H105="",TODAY(),H105),"Ym")/12</f>
        <v>2.75</v>
      </c>
      <c r="J105" s="7" cm="1">
        <f t="array" aca="1" ref="J105" ca="1">IF(ISNUMBER(I105), I105, DAY (I105) + HOUR (I105)/24)</f>
        <v>2.75</v>
      </c>
      <c r="K105" t="str">
        <f ca="1">IF(I105&lt;1,"0-1 yr", IF(I105&lt;3,"0-3 Yrs", IF(I105&lt;5, "3-5 yrs","5+Yrs")))</f>
        <v>0-3 Yrs</v>
      </c>
      <c r="L105" t="str">
        <f ca="1">IF(M105&lt;&gt;"Left","",IF(Z105&gt;20,"Work-Life Balance",IF(OR(X105&lt;=2,Y105&lt;=2),"Work Culture",IF(Q105&lt;AVERAGEIFS($Q$2:$Q$201,$E$2:$E$201,E105),"Better Salary",IF(IFERROR(DATEDIF(V105,IF(H105="",TODAY(),H105),"y"),0)&gt;=3,"Career Growth","Better Opportunity")))))</f>
        <v/>
      </c>
      <c r="M105" t="s">
        <v>27</v>
      </c>
      <c r="N105" t="s">
        <v>28</v>
      </c>
      <c r="O105">
        <f t="shared" si="6"/>
        <v>7.8164999999999996</v>
      </c>
      <c r="P105" t="str">
        <f t="shared" si="7"/>
        <v>6L-8L</v>
      </c>
      <c r="Q105">
        <v>781650</v>
      </c>
      <c r="R105">
        <v>4</v>
      </c>
      <c r="S105" t="s">
        <v>52</v>
      </c>
      <c r="T105" t="s">
        <v>30</v>
      </c>
      <c r="U105" t="s">
        <v>87</v>
      </c>
      <c r="V105" s="1">
        <v>45846</v>
      </c>
      <c r="W105">
        <v>2.77</v>
      </c>
      <c r="X105">
        <v>3</v>
      </c>
      <c r="Y105">
        <v>4</v>
      </c>
      <c r="Z105">
        <v>9</v>
      </c>
      <c r="AA105">
        <v>6</v>
      </c>
      <c r="AB105">
        <v>27</v>
      </c>
    </row>
    <row r="106" spans="1:28" x14ac:dyDescent="0.35">
      <c r="A106" t="s">
        <v>175</v>
      </c>
      <c r="B106" t="s">
        <v>176</v>
      </c>
      <c r="C106">
        <v>45</v>
      </c>
      <c r="D106" t="s">
        <v>24</v>
      </c>
      <c r="E106" t="s">
        <v>56</v>
      </c>
      <c r="F106" t="s">
        <v>57</v>
      </c>
      <c r="G106" s="1">
        <v>43201</v>
      </c>
      <c r="H106" s="1">
        <v>43841</v>
      </c>
      <c r="I106" s="9">
        <f ca="1">DATEDIF(G106,IF(H106="",TODAY(),H106),"Y")+DATEDIF(G106,IF(H106="",TODAY(),H106),"Ym")/12</f>
        <v>1.75</v>
      </c>
      <c r="J106" s="7" cm="1">
        <f t="array" aca="1" ref="J106" ca="1">IF(ISNUMBER(I106), I106, DAY (I106) + HOUR (I106)/24)</f>
        <v>1.75</v>
      </c>
      <c r="K106" s="1" t="str">
        <f ca="1">IF(I106&lt;1,"0-1 yr", IF(I106&lt;3,"0-3 Yrs", IF(I106&lt;5, "3-5 yrs","5+Yrs")))</f>
        <v>0-3 Yrs</v>
      </c>
      <c r="L106" t="str">
        <f ca="1">IF(M106&lt;&gt;"Left","",IF(Z106&gt;20,"Work-Life Balance",IF(OR(X106&lt;=2,Y106&lt;=2),"Work Culture",IF(Q106&lt;AVERAGEIFS($Q$2:$Q$201,$E$2:$E$201,E106),"Better Salary",IF(IFERROR(DATEDIF(V106,IF(H106="",TODAY(),H106),"y"),0)&gt;=3,"Career Growth","Better Opportunity")))))</f>
        <v>Work Culture</v>
      </c>
      <c r="M106" t="s">
        <v>69</v>
      </c>
      <c r="N106" t="s">
        <v>70</v>
      </c>
      <c r="O106">
        <f t="shared" si="6"/>
        <v>7.9871400000000001</v>
      </c>
      <c r="P106" t="str">
        <f t="shared" si="7"/>
        <v>6L-8L</v>
      </c>
      <c r="Q106">
        <v>798714</v>
      </c>
      <c r="R106">
        <v>3</v>
      </c>
      <c r="S106" t="s">
        <v>52</v>
      </c>
      <c r="T106" t="s">
        <v>37</v>
      </c>
      <c r="U106" t="s">
        <v>44</v>
      </c>
      <c r="V106" s="1">
        <v>45374</v>
      </c>
      <c r="W106">
        <v>1.75</v>
      </c>
      <c r="X106">
        <v>1</v>
      </c>
      <c r="Y106">
        <v>5</v>
      </c>
      <c r="Z106">
        <v>7</v>
      </c>
      <c r="AA106">
        <v>58</v>
      </c>
      <c r="AB106">
        <v>38</v>
      </c>
    </row>
    <row r="107" spans="1:28" x14ac:dyDescent="0.35">
      <c r="A107" t="s">
        <v>135</v>
      </c>
      <c r="B107" t="s">
        <v>136</v>
      </c>
      <c r="C107">
        <v>56</v>
      </c>
      <c r="D107" t="s">
        <v>41</v>
      </c>
      <c r="E107" t="s">
        <v>34</v>
      </c>
      <c r="F107" t="s">
        <v>47</v>
      </c>
      <c r="G107" s="1">
        <v>42714</v>
      </c>
      <c r="I107" s="9">
        <f ca="1">DATEDIF(G107,IF(H107="",TODAY(),H107),"Y")+DATEDIF(G107,IF(H107="",TODAY(),H107),"Ym")/12</f>
        <v>9.6666666666666661</v>
      </c>
      <c r="J107" s="7" cm="1">
        <f t="array" aca="1" ref="J107" ca="1">IF(ISNUMBER(I107), I107, DAY (I107) + HOUR (I107)/24)</f>
        <v>9.6666666666666661</v>
      </c>
      <c r="K107" t="str">
        <f ca="1">IF(I107&lt;1,"0-1 yr", IF(I107&lt;3,"0-3 Yrs", IF(I107&lt;5, "3-5 yrs","5+Yrs")))</f>
        <v>5+Yrs</v>
      </c>
      <c r="L107" t="str">
        <f ca="1">IF(M107&lt;&gt;"Left","",IF(Z107&gt;20,"Work-Life Balance",IF(OR(X107&lt;=2,Y107&lt;=2),"Work Culture",IF(Q107&lt;AVERAGEIFS($Q$2:$Q$201,$E$2:$E$201,E107),"Better Salary",IF(IFERROR(DATEDIF(V107,IF(H107="",TODAY(),H107),"y"),0)&gt;=3,"Career Growth","Better Opportunity")))))</f>
        <v/>
      </c>
      <c r="M107" t="s">
        <v>27</v>
      </c>
      <c r="N107" t="s">
        <v>28</v>
      </c>
      <c r="O107">
        <f t="shared" si="6"/>
        <v>8.0113099999999999</v>
      </c>
      <c r="P107" t="str">
        <f t="shared" si="7"/>
        <v>8L-10L</v>
      </c>
      <c r="Q107">
        <v>801131</v>
      </c>
      <c r="R107">
        <v>3</v>
      </c>
      <c r="S107" t="s">
        <v>73</v>
      </c>
      <c r="T107" t="s">
        <v>37</v>
      </c>
      <c r="U107" t="s">
        <v>87</v>
      </c>
      <c r="V107" s="1">
        <v>45782</v>
      </c>
      <c r="W107">
        <v>9.7200000000000006</v>
      </c>
      <c r="X107">
        <v>2</v>
      </c>
      <c r="Y107">
        <v>2</v>
      </c>
      <c r="Z107">
        <v>24</v>
      </c>
      <c r="AA107">
        <v>32</v>
      </c>
      <c r="AB107">
        <v>11</v>
      </c>
    </row>
    <row r="108" spans="1:28" x14ac:dyDescent="0.35">
      <c r="A108" t="s">
        <v>259</v>
      </c>
      <c r="B108" t="s">
        <v>260</v>
      </c>
      <c r="C108">
        <v>56</v>
      </c>
      <c r="D108" t="s">
        <v>24</v>
      </c>
      <c r="E108" t="s">
        <v>64</v>
      </c>
      <c r="F108" t="s">
        <v>145</v>
      </c>
      <c r="G108" s="1">
        <v>43994</v>
      </c>
      <c r="I108" s="9">
        <f ca="1">DATEDIF(G108,IF(H108="",TODAY(),H108),"Y")+DATEDIF(G108,IF(H108="",TODAY(),H108),"Ym")/12</f>
        <v>6.166666666666667</v>
      </c>
      <c r="J108" s="7" cm="1">
        <f t="array" aca="1" ref="J108" ca="1">IF(ISNUMBER(I108), I108, DAY (I108) + HOUR (I108)/24)</f>
        <v>6.166666666666667</v>
      </c>
      <c r="K108" t="str">
        <f ca="1">IF(I108&lt;1,"0-1 yr", IF(I108&lt;3,"0-3 Yrs", IF(I108&lt;5, "3-5 yrs","5+Yrs")))</f>
        <v>5+Yrs</v>
      </c>
      <c r="L108" t="str">
        <f ca="1">IF(M108&lt;&gt;"Left","",IF(Z108&gt;20,"Work-Life Balance",IF(OR(X108&lt;=2,Y108&lt;=2),"Work Culture",IF(Q108&lt;AVERAGEIFS($Q$2:$Q$201,$E$2:$E$201,E108),"Better Salary",IF(IFERROR(DATEDIF(V108,IF(H108="",TODAY(),H108),"y"),0)&gt;=3,"Career Growth","Better Opportunity")))))</f>
        <v/>
      </c>
      <c r="M108" t="s">
        <v>27</v>
      </c>
      <c r="N108" t="s">
        <v>28</v>
      </c>
      <c r="O108">
        <f t="shared" si="6"/>
        <v>8.1596100000000007</v>
      </c>
      <c r="P108" t="str">
        <f t="shared" si="7"/>
        <v>8L-10L</v>
      </c>
      <c r="Q108">
        <v>815961</v>
      </c>
      <c r="R108">
        <v>4</v>
      </c>
      <c r="S108" t="s">
        <v>36</v>
      </c>
      <c r="T108" t="s">
        <v>43</v>
      </c>
      <c r="U108" t="s">
        <v>58</v>
      </c>
      <c r="W108">
        <v>6.21</v>
      </c>
      <c r="X108">
        <v>4</v>
      </c>
      <c r="Y108">
        <v>3</v>
      </c>
      <c r="Z108">
        <v>4</v>
      </c>
      <c r="AA108">
        <v>45</v>
      </c>
      <c r="AB108">
        <v>29</v>
      </c>
    </row>
    <row r="109" spans="1:28" x14ac:dyDescent="0.35">
      <c r="A109" t="s">
        <v>417</v>
      </c>
      <c r="B109" t="s">
        <v>418</v>
      </c>
      <c r="C109">
        <v>39</v>
      </c>
      <c r="D109" t="s">
        <v>24</v>
      </c>
      <c r="E109" t="s">
        <v>34</v>
      </c>
      <c r="F109" t="s">
        <v>51</v>
      </c>
      <c r="G109" s="1">
        <v>45416</v>
      </c>
      <c r="I109" s="9">
        <f ca="1">DATEDIF(G109,IF(H109="",TODAY(),H109),"Y")+DATEDIF(G109,IF(H109="",TODAY(),H109),"Ym")/12</f>
        <v>2.25</v>
      </c>
      <c r="J109" s="7" cm="1">
        <f t="array" aca="1" ref="J109" ca="1">IF(ISNUMBER(I109), I109, DAY (I109) + HOUR (I109)/24)</f>
        <v>2.25</v>
      </c>
      <c r="K109" t="str">
        <f ca="1">IF(I109&lt;1,"0-1 yr", IF(I109&lt;3,"0-3 Yrs", IF(I109&lt;5, "3-5 yrs","5+Yrs")))</f>
        <v>0-3 Yrs</v>
      </c>
      <c r="L109" t="str">
        <f ca="1">IF(M109&lt;&gt;"Left","",IF(Z109&gt;20,"Work-Life Balance",IF(OR(X109&lt;=2,Y109&lt;=2),"Work Culture",IF(Q109&lt;AVERAGEIFS($Q$2:$Q$201,$E$2:$E$201,E109),"Better Salary",IF(IFERROR(DATEDIF(V109,IF(H109="",TODAY(),H109),"y"),0)&gt;=3,"Career Growth","Better Opportunity")))))</f>
        <v/>
      </c>
      <c r="M109" t="s">
        <v>27</v>
      </c>
      <c r="N109" t="s">
        <v>28</v>
      </c>
      <c r="O109">
        <f t="shared" si="6"/>
        <v>8.2648499999999991</v>
      </c>
      <c r="P109" t="str">
        <f t="shared" si="7"/>
        <v>8L-10L</v>
      </c>
      <c r="Q109">
        <v>826485</v>
      </c>
      <c r="R109">
        <v>5</v>
      </c>
      <c r="S109" t="s">
        <v>77</v>
      </c>
      <c r="T109" t="s">
        <v>43</v>
      </c>
      <c r="U109" t="s">
        <v>58</v>
      </c>
      <c r="V109" s="1">
        <v>45736</v>
      </c>
      <c r="W109">
        <v>2.3199999999999998</v>
      </c>
      <c r="X109">
        <v>3</v>
      </c>
      <c r="Y109">
        <v>3</v>
      </c>
      <c r="Z109">
        <v>10</v>
      </c>
      <c r="AA109">
        <v>61</v>
      </c>
      <c r="AB109">
        <v>26</v>
      </c>
    </row>
    <row r="110" spans="1:28" x14ac:dyDescent="0.35">
      <c r="A110" t="s">
        <v>329</v>
      </c>
      <c r="B110" t="s">
        <v>330</v>
      </c>
      <c r="C110">
        <v>56</v>
      </c>
      <c r="D110" t="s">
        <v>24</v>
      </c>
      <c r="E110" t="s">
        <v>64</v>
      </c>
      <c r="F110" t="s">
        <v>83</v>
      </c>
      <c r="G110" s="1">
        <v>44726</v>
      </c>
      <c r="I110" s="9">
        <f ca="1">DATEDIF(G110,IF(H110="",TODAY(),H110),"Y")+DATEDIF(G110,IF(H110="",TODAY(),H110),"Ym")/12</f>
        <v>4.166666666666667</v>
      </c>
      <c r="J110" s="7" cm="1">
        <f t="array" aca="1" ref="J110" ca="1">IF(ISNUMBER(I110), I110, DAY (I110) + HOUR (I110)/24)</f>
        <v>4.166666666666667</v>
      </c>
      <c r="K110" t="str">
        <f ca="1">IF(I110&lt;1,"0-1 yr", IF(I110&lt;3,"0-3 Yrs", IF(I110&lt;5, "3-5 yrs","5+Yrs")))</f>
        <v>3-5 yrs</v>
      </c>
      <c r="L110" t="str">
        <f ca="1">IF(M110&lt;&gt;"Left","",IF(Z110&gt;20,"Work-Life Balance",IF(OR(X110&lt;=2,Y110&lt;=2),"Work Culture",IF(Q110&lt;AVERAGEIFS($Q$2:$Q$201,$E$2:$E$201,E110),"Better Salary",IF(IFERROR(DATEDIF(V110,IF(H110="",TODAY(),H110),"y"),0)&gt;=3,"Career Growth","Better Opportunity")))))</f>
        <v/>
      </c>
      <c r="M110" t="s">
        <v>27</v>
      </c>
      <c r="N110" t="s">
        <v>28</v>
      </c>
      <c r="O110">
        <f t="shared" si="6"/>
        <v>8.3551900000000003</v>
      </c>
      <c r="P110" t="str">
        <f t="shared" si="7"/>
        <v>8L-10L</v>
      </c>
      <c r="Q110">
        <v>835519</v>
      </c>
      <c r="R110">
        <v>3</v>
      </c>
      <c r="S110" t="s">
        <v>66</v>
      </c>
      <c r="T110" t="s">
        <v>43</v>
      </c>
      <c r="U110" t="s">
        <v>87</v>
      </c>
      <c r="V110" s="1">
        <v>46103</v>
      </c>
      <c r="W110">
        <v>4.21</v>
      </c>
      <c r="X110">
        <v>1</v>
      </c>
      <c r="Y110">
        <v>4</v>
      </c>
      <c r="Z110">
        <v>17</v>
      </c>
      <c r="AA110">
        <v>73</v>
      </c>
      <c r="AB110">
        <v>26</v>
      </c>
    </row>
    <row r="111" spans="1:28" x14ac:dyDescent="0.35">
      <c r="A111" t="s">
        <v>316</v>
      </c>
      <c r="B111" t="s">
        <v>317</v>
      </c>
      <c r="C111">
        <v>22</v>
      </c>
      <c r="D111" t="s">
        <v>41</v>
      </c>
      <c r="E111" t="s">
        <v>34</v>
      </c>
      <c r="F111" t="s">
        <v>51</v>
      </c>
      <c r="G111" s="1">
        <v>44637</v>
      </c>
      <c r="I111" s="9">
        <f ca="1">DATEDIF(G111,IF(H111="",TODAY(),H111),"Y")+DATEDIF(G111,IF(H111="",TODAY(),H111),"Ym")/12</f>
        <v>4.416666666666667</v>
      </c>
      <c r="J111" s="7" cm="1">
        <f t="array" aca="1" ref="J111" ca="1">IF(ISNUMBER(I111), I111, DAY (I111) + HOUR (I111)/24)</f>
        <v>4.416666666666667</v>
      </c>
      <c r="K111" t="str">
        <f ca="1">IF(I111&lt;1,"0-1 yr", IF(I111&lt;3,"0-3 Yrs", IF(I111&lt;5, "3-5 yrs","5+Yrs")))</f>
        <v>3-5 yrs</v>
      </c>
      <c r="L111" t="str">
        <f ca="1">IF(M111&lt;&gt;"Left","",IF(Z111&gt;20,"Work-Life Balance",IF(OR(X111&lt;=2,Y111&lt;=2),"Work Culture",IF(Q111&lt;AVERAGEIFS($Q$2:$Q$201,$E$2:$E$201,E111),"Better Salary",IF(IFERROR(DATEDIF(V111,IF(H111="",TODAY(),H111),"y"),0)&gt;=3,"Career Growth","Better Opportunity")))))</f>
        <v/>
      </c>
      <c r="M111" t="s">
        <v>27</v>
      </c>
      <c r="N111" t="s">
        <v>28</v>
      </c>
      <c r="O111">
        <f t="shared" si="6"/>
        <v>8.3680299999999992</v>
      </c>
      <c r="P111" t="str">
        <f t="shared" si="7"/>
        <v>8L-10L</v>
      </c>
      <c r="Q111">
        <v>836803</v>
      </c>
      <c r="R111">
        <v>4</v>
      </c>
      <c r="S111" t="s">
        <v>77</v>
      </c>
      <c r="T111" t="s">
        <v>30</v>
      </c>
      <c r="U111" t="s">
        <v>53</v>
      </c>
      <c r="V111" s="1">
        <v>45469</v>
      </c>
      <c r="W111">
        <v>4.45</v>
      </c>
      <c r="X111">
        <v>4</v>
      </c>
      <c r="Y111">
        <v>3</v>
      </c>
      <c r="Z111">
        <v>4</v>
      </c>
      <c r="AA111">
        <v>36</v>
      </c>
      <c r="AB111">
        <v>10</v>
      </c>
    </row>
    <row r="112" spans="1:28" x14ac:dyDescent="0.35">
      <c r="A112" t="s">
        <v>373</v>
      </c>
      <c r="B112" t="s">
        <v>374</v>
      </c>
      <c r="C112">
        <v>27</v>
      </c>
      <c r="D112" t="s">
        <v>24</v>
      </c>
      <c r="E112" t="s">
        <v>89</v>
      </c>
      <c r="F112" t="s">
        <v>90</v>
      </c>
      <c r="G112" s="1">
        <v>45125</v>
      </c>
      <c r="I112" s="9">
        <f ca="1">DATEDIF(G112,IF(H112="",TODAY(),H112),"Y")+DATEDIF(G112,IF(H112="",TODAY(),H112),"Ym")/12</f>
        <v>3.0833333333333335</v>
      </c>
      <c r="J112" s="7" cm="1">
        <f t="array" aca="1" ref="J112" ca="1">IF(ISNUMBER(I112), I112, DAY (I112) + HOUR (I112)/24)</f>
        <v>3.0833333333333335</v>
      </c>
      <c r="K112" t="str">
        <f ca="1">IF(I112&lt;1,"0-1 yr", IF(I112&lt;3,"0-3 Yrs", IF(I112&lt;5, "3-5 yrs","5+Yrs")))</f>
        <v>3-5 yrs</v>
      </c>
      <c r="L112" t="str">
        <f ca="1">IF(M112&lt;&gt;"Left","",IF(Z112&gt;20,"Work-Life Balance",IF(OR(X112&lt;=2,Y112&lt;=2),"Work Culture",IF(Q112&lt;AVERAGEIFS($Q$2:$Q$201,$E$2:$E$201,E112),"Better Salary",IF(IFERROR(DATEDIF(V112,IF(H112="",TODAY(),H112),"y"),0)&gt;=3,"Career Growth","Better Opportunity")))))</f>
        <v/>
      </c>
      <c r="M112" t="s">
        <v>27</v>
      </c>
      <c r="N112" t="s">
        <v>28</v>
      </c>
      <c r="O112">
        <f t="shared" si="6"/>
        <v>8.3867399999999996</v>
      </c>
      <c r="P112" t="str">
        <f t="shared" si="7"/>
        <v>8L-10L</v>
      </c>
      <c r="Q112">
        <v>838674</v>
      </c>
      <c r="R112">
        <v>4</v>
      </c>
      <c r="S112" t="s">
        <v>48</v>
      </c>
      <c r="T112" t="s">
        <v>37</v>
      </c>
      <c r="U112" t="s">
        <v>87</v>
      </c>
      <c r="W112">
        <v>3.12</v>
      </c>
      <c r="X112">
        <v>5</v>
      </c>
      <c r="Y112">
        <v>3</v>
      </c>
      <c r="Z112">
        <v>18</v>
      </c>
      <c r="AA112">
        <v>24</v>
      </c>
      <c r="AB112">
        <v>13</v>
      </c>
    </row>
    <row r="113" spans="1:28" x14ac:dyDescent="0.35">
      <c r="A113" t="s">
        <v>365</v>
      </c>
      <c r="B113" t="s">
        <v>366</v>
      </c>
      <c r="C113">
        <v>35</v>
      </c>
      <c r="D113" t="s">
        <v>41</v>
      </c>
      <c r="E113" t="s">
        <v>64</v>
      </c>
      <c r="F113" t="s">
        <v>145</v>
      </c>
      <c r="G113" s="1">
        <v>45064</v>
      </c>
      <c r="I113" s="9">
        <f ca="1">DATEDIF(G113,IF(H113="",TODAY(),H113),"Y")+DATEDIF(G113,IF(H113="",TODAY(),H113),"Ym")/12</f>
        <v>3.25</v>
      </c>
      <c r="J113" s="7" cm="1">
        <f t="array" aca="1" ref="J113" ca="1">IF(ISNUMBER(I113), I113, DAY (I113) + HOUR (I113)/24)</f>
        <v>3.25</v>
      </c>
      <c r="K113" t="str">
        <f ca="1">IF(I113&lt;1,"0-1 yr", IF(I113&lt;3,"0-3 Yrs", IF(I113&lt;5, "3-5 yrs","5+Yrs")))</f>
        <v>3-5 yrs</v>
      </c>
      <c r="L113" t="str">
        <f ca="1">IF(M113&lt;&gt;"Left","",IF(Z113&gt;20,"Work-Life Balance",IF(OR(X113&lt;=2,Y113&lt;=2),"Work Culture",IF(Q113&lt;AVERAGEIFS($Q$2:$Q$201,$E$2:$E$201,E113),"Better Salary",IF(IFERROR(DATEDIF(V113,IF(H113="",TODAY(),H113),"y"),0)&gt;=3,"Career Growth","Better Opportunity")))))</f>
        <v/>
      </c>
      <c r="M113" t="s">
        <v>27</v>
      </c>
      <c r="N113" t="s">
        <v>28</v>
      </c>
      <c r="O113">
        <f t="shared" si="6"/>
        <v>8.5036900000000006</v>
      </c>
      <c r="P113" t="str">
        <f t="shared" si="7"/>
        <v>8L-10L</v>
      </c>
      <c r="Q113">
        <v>850369</v>
      </c>
      <c r="R113">
        <v>4</v>
      </c>
      <c r="S113" t="s">
        <v>36</v>
      </c>
      <c r="T113" t="s">
        <v>37</v>
      </c>
      <c r="U113" t="s">
        <v>87</v>
      </c>
      <c r="V113" s="1">
        <v>45588</v>
      </c>
      <c r="W113">
        <v>3.29</v>
      </c>
      <c r="X113">
        <v>1</v>
      </c>
      <c r="Y113">
        <v>1</v>
      </c>
      <c r="Z113">
        <v>8</v>
      </c>
      <c r="AA113">
        <v>57</v>
      </c>
      <c r="AB113">
        <v>3</v>
      </c>
    </row>
    <row r="114" spans="1:28" x14ac:dyDescent="0.35">
      <c r="A114" t="s">
        <v>111</v>
      </c>
      <c r="B114" t="s">
        <v>112</v>
      </c>
      <c r="C114">
        <v>40</v>
      </c>
      <c r="D114" t="s">
        <v>24</v>
      </c>
      <c r="E114" t="s">
        <v>64</v>
      </c>
      <c r="F114" t="s">
        <v>65</v>
      </c>
      <c r="G114" s="1">
        <v>42428</v>
      </c>
      <c r="I114" s="9">
        <f ca="1">DATEDIF(G114,IF(H114="",TODAY(),H114),"Y")+DATEDIF(G114,IF(H114="",TODAY(),H114),"Ym")/12</f>
        <v>10.5</v>
      </c>
      <c r="J114" s="7" cm="1">
        <f t="array" aca="1" ref="J114" ca="1">IF(ISNUMBER(I114), I114, DAY (I114) + HOUR (I114)/24)</f>
        <v>10.5</v>
      </c>
      <c r="K114" t="str">
        <f ca="1">IF(I114&lt;1,"0-1 yr", IF(I114&lt;3,"0-3 Yrs", IF(I114&lt;5, "3-5 yrs","5+Yrs")))</f>
        <v>5+Yrs</v>
      </c>
      <c r="L114" t="str">
        <f ca="1">IF(M114&lt;&gt;"Left","",IF(Z114&gt;20,"Work-Life Balance",IF(OR(X114&lt;=2,Y114&lt;=2),"Work Culture",IF(Q114&lt;AVERAGEIFS($Q$2:$Q$201,$E$2:$E$201,E114),"Better Salary",IF(IFERROR(DATEDIF(V114,IF(H114="",TODAY(),H114),"y"),0)&gt;=3,"Career Growth","Better Opportunity")))))</f>
        <v/>
      </c>
      <c r="M114" t="s">
        <v>27</v>
      </c>
      <c r="N114" t="s">
        <v>28</v>
      </c>
      <c r="O114">
        <f t="shared" si="6"/>
        <v>8.5227299999999993</v>
      </c>
      <c r="P114" t="str">
        <f t="shared" si="7"/>
        <v>8L-10L</v>
      </c>
      <c r="Q114">
        <v>852273</v>
      </c>
      <c r="R114">
        <v>4</v>
      </c>
      <c r="S114" t="s">
        <v>48</v>
      </c>
      <c r="T114" t="s">
        <v>37</v>
      </c>
      <c r="U114" t="s">
        <v>106</v>
      </c>
      <c r="W114">
        <v>10.5</v>
      </c>
      <c r="X114">
        <v>1</v>
      </c>
      <c r="Y114">
        <v>2</v>
      </c>
      <c r="Z114">
        <v>9</v>
      </c>
      <c r="AA114">
        <v>23</v>
      </c>
      <c r="AB114">
        <v>40</v>
      </c>
    </row>
    <row r="115" spans="1:28" x14ac:dyDescent="0.35">
      <c r="A115" t="s">
        <v>263</v>
      </c>
      <c r="B115" t="s">
        <v>264</v>
      </c>
      <c r="C115">
        <v>34</v>
      </c>
      <c r="D115" t="s">
        <v>41</v>
      </c>
      <c r="E115" t="s">
        <v>34</v>
      </c>
      <c r="F115" t="s">
        <v>35</v>
      </c>
      <c r="G115" s="1">
        <v>44056</v>
      </c>
      <c r="I115" s="9">
        <f ca="1">DATEDIF(G115,IF(H115="",TODAY(),H115),"Y")+DATEDIF(G115,IF(H115="",TODAY(),H115),"Ym")/12</f>
        <v>6</v>
      </c>
      <c r="J115" s="7" cm="1">
        <f t="array" aca="1" ref="J115" ca="1">IF(ISNUMBER(I115), I115, DAY (I115) + HOUR (I115)/24)</f>
        <v>6</v>
      </c>
      <c r="K115" t="str">
        <f ca="1">IF(I115&lt;1,"0-1 yr", IF(I115&lt;3,"0-3 Yrs", IF(I115&lt;5, "3-5 yrs","5+Yrs")))</f>
        <v>5+Yrs</v>
      </c>
      <c r="L115" t="str">
        <f ca="1">IF(M115&lt;&gt;"Left","",IF(Z115&gt;20,"Work-Life Balance",IF(OR(X115&lt;=2,Y115&lt;=2),"Work Culture",IF(Q115&lt;AVERAGEIFS($Q$2:$Q$201,$E$2:$E$201,E115),"Better Salary",IF(IFERROR(DATEDIF(V115,IF(H115="",TODAY(),H115),"y"),0)&gt;=3,"Career Growth","Better Opportunity")))))</f>
        <v/>
      </c>
      <c r="M115" t="s">
        <v>27</v>
      </c>
      <c r="N115" t="s">
        <v>28</v>
      </c>
      <c r="O115">
        <f t="shared" si="6"/>
        <v>8.5295799999999993</v>
      </c>
      <c r="P115" t="str">
        <f t="shared" si="7"/>
        <v>8L-10L</v>
      </c>
      <c r="Q115">
        <v>852958</v>
      </c>
      <c r="R115">
        <v>3</v>
      </c>
      <c r="S115" t="s">
        <v>48</v>
      </c>
      <c r="T115" t="s">
        <v>30</v>
      </c>
      <c r="U115" t="s">
        <v>31</v>
      </c>
      <c r="V115" s="1">
        <v>44831</v>
      </c>
      <c r="W115">
        <v>6.05</v>
      </c>
      <c r="X115">
        <v>3</v>
      </c>
      <c r="Y115">
        <v>1</v>
      </c>
      <c r="Z115">
        <v>0</v>
      </c>
      <c r="AA115">
        <v>64</v>
      </c>
      <c r="AB115">
        <v>44</v>
      </c>
    </row>
    <row r="116" spans="1:28" x14ac:dyDescent="0.35">
      <c r="A116" t="s">
        <v>96</v>
      </c>
      <c r="B116" t="s">
        <v>97</v>
      </c>
      <c r="C116">
        <v>22</v>
      </c>
      <c r="D116" t="s">
        <v>41</v>
      </c>
      <c r="E116" t="s">
        <v>64</v>
      </c>
      <c r="F116" t="s">
        <v>83</v>
      </c>
      <c r="G116" s="1">
        <v>42374</v>
      </c>
      <c r="I116" s="9">
        <f ca="1">DATEDIF(G116,IF(H116="",TODAY(),H116),"Y")+DATEDIF(G116,IF(H116="",TODAY(),H116),"Ym")/12</f>
        <v>10.583333333333334</v>
      </c>
      <c r="J116" s="7" cm="1">
        <f t="array" aca="1" ref="J116" ca="1">IF(ISNUMBER(I116), I116, DAY (I116) + HOUR (I116)/24)</f>
        <v>10.583333333333334</v>
      </c>
      <c r="K116" t="str">
        <f ca="1">IF(I116&lt;1,"0-1 yr", IF(I116&lt;3,"0-3 Yrs", IF(I116&lt;5, "3-5 yrs","5+Yrs")))</f>
        <v>5+Yrs</v>
      </c>
      <c r="L116" t="str">
        <f ca="1">IF(M116&lt;&gt;"Left","",IF(Z116&gt;20,"Work-Life Balance",IF(OR(X116&lt;=2,Y116&lt;=2),"Work Culture",IF(Q116&lt;AVERAGEIFS($Q$2:$Q$201,$E$2:$E$201,E116),"Better Salary",IF(IFERROR(DATEDIF(V116,IF(H116="",TODAY(),H116),"y"),0)&gt;=3,"Career Growth","Better Opportunity")))))</f>
        <v/>
      </c>
      <c r="M116" t="s">
        <v>27</v>
      </c>
      <c r="N116" t="s">
        <v>28</v>
      </c>
      <c r="O116">
        <f t="shared" si="6"/>
        <v>8.63659</v>
      </c>
      <c r="P116" t="str">
        <f t="shared" si="7"/>
        <v>8L-10L</v>
      </c>
      <c r="Q116">
        <v>863659</v>
      </c>
      <c r="R116">
        <v>1</v>
      </c>
      <c r="S116" t="s">
        <v>98</v>
      </c>
      <c r="T116" t="s">
        <v>30</v>
      </c>
      <c r="U116" t="s">
        <v>31</v>
      </c>
      <c r="V116" s="1">
        <v>44536</v>
      </c>
      <c r="W116">
        <v>10.65</v>
      </c>
      <c r="X116">
        <v>3</v>
      </c>
      <c r="Y116">
        <v>1</v>
      </c>
      <c r="Z116">
        <v>12</v>
      </c>
      <c r="AA116">
        <v>8</v>
      </c>
      <c r="AB116">
        <v>17</v>
      </c>
    </row>
    <row r="117" spans="1:28" x14ac:dyDescent="0.35">
      <c r="A117" t="s">
        <v>187</v>
      </c>
      <c r="B117" t="s">
        <v>188</v>
      </c>
      <c r="C117">
        <v>36</v>
      </c>
      <c r="D117" t="s">
        <v>24</v>
      </c>
      <c r="E117" t="s">
        <v>34</v>
      </c>
      <c r="F117" t="s">
        <v>35</v>
      </c>
      <c r="G117" s="1">
        <v>43272</v>
      </c>
      <c r="I117" s="9">
        <f ca="1">DATEDIF(G117,IF(H117="",TODAY(),H117),"Y")+DATEDIF(G117,IF(H117="",TODAY(),H117),"Ym")/12</f>
        <v>8.1666666666666661</v>
      </c>
      <c r="J117" s="7" cm="1">
        <f t="array" aca="1" ref="J117" ca="1">IF(ISNUMBER(I117), I117, DAY (I117) + HOUR (I117)/24)</f>
        <v>8.1666666666666661</v>
      </c>
      <c r="K117" t="str">
        <f ca="1">IF(I117&lt;1,"0-1 yr", IF(I117&lt;3,"0-3 Yrs", IF(I117&lt;5, "3-5 yrs","5+Yrs")))</f>
        <v>5+Yrs</v>
      </c>
      <c r="L117" t="str">
        <f ca="1">IF(M117&lt;&gt;"Left","",IF(Z117&gt;20,"Work-Life Balance",IF(OR(X117&lt;=2,Y117&lt;=2),"Work Culture",IF(Q117&lt;AVERAGEIFS($Q$2:$Q$201,$E$2:$E$201,E117),"Better Salary",IF(IFERROR(DATEDIF(V117,IF(H117="",TODAY(),H117),"y"),0)&gt;=3,"Career Growth","Better Opportunity")))))</f>
        <v/>
      </c>
      <c r="M117" t="s">
        <v>27</v>
      </c>
      <c r="N117" t="s">
        <v>28</v>
      </c>
      <c r="O117">
        <f t="shared" si="6"/>
        <v>8.7455200000000008</v>
      </c>
      <c r="P117" t="str">
        <f t="shared" si="7"/>
        <v>8L-10L</v>
      </c>
      <c r="Q117">
        <v>874552</v>
      </c>
      <c r="R117">
        <v>4</v>
      </c>
      <c r="S117" t="s">
        <v>29</v>
      </c>
      <c r="T117" t="s">
        <v>30</v>
      </c>
      <c r="U117" t="s">
        <v>87</v>
      </c>
      <c r="W117">
        <v>8.19</v>
      </c>
      <c r="X117">
        <v>4</v>
      </c>
      <c r="Y117">
        <v>3</v>
      </c>
      <c r="Z117">
        <v>20</v>
      </c>
      <c r="AA117">
        <v>58</v>
      </c>
      <c r="AB117">
        <v>4</v>
      </c>
    </row>
    <row r="118" spans="1:28" x14ac:dyDescent="0.35">
      <c r="A118" t="s">
        <v>353</v>
      </c>
      <c r="B118" t="s">
        <v>354</v>
      </c>
      <c r="C118">
        <v>45</v>
      </c>
      <c r="D118" t="s">
        <v>24</v>
      </c>
      <c r="E118" t="s">
        <v>64</v>
      </c>
      <c r="F118" t="s">
        <v>65</v>
      </c>
      <c r="G118" s="1">
        <v>44937</v>
      </c>
      <c r="I118" s="9">
        <f ca="1">DATEDIF(G118,IF(H118="",TODAY(),H118),"Y")+DATEDIF(G118,IF(H118="",TODAY(),H118),"Ym")/12</f>
        <v>3.5833333333333335</v>
      </c>
      <c r="J118" s="7" cm="1">
        <f t="array" aca="1" ref="J118" ca="1">IF(ISNUMBER(I118), I118, DAY (I118) + HOUR (I118)/24)</f>
        <v>3.5833333333333335</v>
      </c>
      <c r="K118" t="str">
        <f ca="1">IF(I118&lt;1,"0-1 yr", IF(I118&lt;3,"0-3 Yrs", IF(I118&lt;5, "3-5 yrs","5+Yrs")))</f>
        <v>3-5 yrs</v>
      </c>
      <c r="L118" t="str">
        <f ca="1">IF(M118&lt;&gt;"Left","",IF(Z118&gt;20,"Work-Life Balance",IF(OR(X118&lt;=2,Y118&lt;=2),"Work Culture",IF(Q118&lt;AVERAGEIFS($Q$2:$Q$201,$E$2:$E$201,E118),"Better Salary",IF(IFERROR(DATEDIF(V118,IF(H118="",TODAY(),H118),"y"),0)&gt;=3,"Career Growth","Better Opportunity")))))</f>
        <v/>
      </c>
      <c r="M118" t="s">
        <v>27</v>
      </c>
      <c r="N118" t="s">
        <v>28</v>
      </c>
      <c r="O118">
        <f t="shared" si="6"/>
        <v>8.7461400000000005</v>
      </c>
      <c r="P118" t="str">
        <f t="shared" si="7"/>
        <v>8L-10L</v>
      </c>
      <c r="Q118">
        <v>874614</v>
      </c>
      <c r="R118">
        <v>3</v>
      </c>
      <c r="S118" t="s">
        <v>66</v>
      </c>
      <c r="T118" t="s">
        <v>43</v>
      </c>
      <c r="U118" t="s">
        <v>31</v>
      </c>
      <c r="V118" s="1">
        <v>45806</v>
      </c>
      <c r="W118">
        <v>3.63</v>
      </c>
      <c r="X118">
        <v>3</v>
      </c>
      <c r="Y118">
        <v>3</v>
      </c>
      <c r="Z118">
        <v>23</v>
      </c>
      <c r="AA118">
        <v>7</v>
      </c>
      <c r="AB118">
        <v>23</v>
      </c>
    </row>
    <row r="119" spans="1:28" x14ac:dyDescent="0.35">
      <c r="A119" t="s">
        <v>411</v>
      </c>
      <c r="B119" t="s">
        <v>412</v>
      </c>
      <c r="C119">
        <v>34</v>
      </c>
      <c r="D119" t="s">
        <v>24</v>
      </c>
      <c r="E119" t="s">
        <v>89</v>
      </c>
      <c r="F119" t="s">
        <v>90</v>
      </c>
      <c r="G119" s="1">
        <v>45357</v>
      </c>
      <c r="I119" s="9">
        <f ca="1">DATEDIF(G119,IF(H119="",TODAY(),H119),"Y")+DATEDIF(G119,IF(H119="",TODAY(),H119),"Ym")/12</f>
        <v>2.4166666666666665</v>
      </c>
      <c r="J119" s="7" cm="1">
        <f t="array" aca="1" ref="J119" ca="1">IF(ISNUMBER(I119), I119, DAY (I119) + HOUR (I119)/24)</f>
        <v>2.4166666666666665</v>
      </c>
      <c r="K119" t="str">
        <f ca="1">IF(I119&lt;1,"0-1 yr", IF(I119&lt;3,"0-3 Yrs", IF(I119&lt;5, "3-5 yrs","5+Yrs")))</f>
        <v>0-3 Yrs</v>
      </c>
      <c r="L119" t="str">
        <f ca="1">IF(M119&lt;&gt;"Left","",IF(Z119&gt;20,"Work-Life Balance",IF(OR(X119&lt;=2,Y119&lt;=2),"Work Culture",IF(Q119&lt;AVERAGEIFS($Q$2:$Q$201,$E$2:$E$201,E119),"Better Salary",IF(IFERROR(DATEDIF(V119,IF(H119="",TODAY(),H119),"y"),0)&gt;=3,"Career Growth","Better Opportunity")))))</f>
        <v/>
      </c>
      <c r="M119" t="s">
        <v>27</v>
      </c>
      <c r="N119" t="s">
        <v>28</v>
      </c>
      <c r="O119">
        <f t="shared" si="6"/>
        <v>8.8040599999999998</v>
      </c>
      <c r="P119" t="str">
        <f t="shared" si="7"/>
        <v>8L-10L</v>
      </c>
      <c r="Q119">
        <v>880406</v>
      </c>
      <c r="R119">
        <v>4</v>
      </c>
      <c r="S119" t="s">
        <v>73</v>
      </c>
      <c r="T119" t="s">
        <v>30</v>
      </c>
      <c r="U119" t="s">
        <v>122</v>
      </c>
      <c r="V119" s="1">
        <v>45700</v>
      </c>
      <c r="W119">
        <v>2.48</v>
      </c>
      <c r="X119">
        <v>4</v>
      </c>
      <c r="Y119">
        <v>3</v>
      </c>
      <c r="Z119">
        <v>3</v>
      </c>
      <c r="AA119">
        <v>14</v>
      </c>
      <c r="AB119">
        <v>4</v>
      </c>
    </row>
    <row r="120" spans="1:28" x14ac:dyDescent="0.35">
      <c r="A120" t="s">
        <v>222</v>
      </c>
      <c r="B120" t="s">
        <v>223</v>
      </c>
      <c r="C120">
        <v>41</v>
      </c>
      <c r="D120" t="s">
        <v>41</v>
      </c>
      <c r="E120" t="s">
        <v>64</v>
      </c>
      <c r="F120" t="s">
        <v>83</v>
      </c>
      <c r="G120" s="1">
        <v>43581</v>
      </c>
      <c r="I120" s="9">
        <f ca="1">DATEDIF(G120,IF(H120="",TODAY(),H120),"Y")+DATEDIF(G120,IF(H120="",TODAY(),H120),"Ym")/12</f>
        <v>7.333333333333333</v>
      </c>
      <c r="J120" s="7" cm="1">
        <f t="array" aca="1" ref="J120" ca="1">IF(ISNUMBER(I120), I120, DAY (I120) + HOUR (I120)/24)</f>
        <v>7.333333333333333</v>
      </c>
      <c r="K120" t="str">
        <f ca="1">IF(I120&lt;1,"0-1 yr", IF(I120&lt;3,"0-3 Yrs", IF(I120&lt;5, "3-5 yrs","5+Yrs")))</f>
        <v>5+Yrs</v>
      </c>
      <c r="L120" t="str">
        <f ca="1">IF(M120&lt;&gt;"Left","",IF(Z120&gt;20,"Work-Life Balance",IF(OR(X120&lt;=2,Y120&lt;=2),"Work Culture",IF(Q120&lt;AVERAGEIFS($Q$2:$Q$201,$E$2:$E$201,E120),"Better Salary",IF(IFERROR(DATEDIF(V120,IF(H120="",TODAY(),H120),"y"),0)&gt;=3,"Career Growth","Better Opportunity")))))</f>
        <v/>
      </c>
      <c r="M120" t="s">
        <v>27</v>
      </c>
      <c r="N120" t="s">
        <v>28</v>
      </c>
      <c r="O120">
        <f t="shared" si="6"/>
        <v>9.0641700000000007</v>
      </c>
      <c r="P120" t="str">
        <f t="shared" si="7"/>
        <v>8L-10L</v>
      </c>
      <c r="Q120">
        <v>906417</v>
      </c>
      <c r="R120">
        <v>5</v>
      </c>
      <c r="S120" t="s">
        <v>66</v>
      </c>
      <c r="T120" t="s">
        <v>30</v>
      </c>
      <c r="U120" t="s">
        <v>44</v>
      </c>
      <c r="V120" s="1">
        <v>46147</v>
      </c>
      <c r="W120">
        <v>7.35</v>
      </c>
      <c r="X120">
        <v>3</v>
      </c>
      <c r="Y120">
        <v>3</v>
      </c>
      <c r="Z120">
        <v>6</v>
      </c>
      <c r="AA120">
        <v>48</v>
      </c>
      <c r="AB120">
        <v>9</v>
      </c>
    </row>
    <row r="121" spans="1:28" x14ac:dyDescent="0.35">
      <c r="A121" t="s">
        <v>137</v>
      </c>
      <c r="B121" t="s">
        <v>138</v>
      </c>
      <c r="C121">
        <v>37</v>
      </c>
      <c r="D121" t="s">
        <v>24</v>
      </c>
      <c r="E121" t="s">
        <v>34</v>
      </c>
      <c r="F121" t="s">
        <v>35</v>
      </c>
      <c r="G121" s="1">
        <v>42726</v>
      </c>
      <c r="I121" s="9">
        <f ca="1">DATEDIF(G121,IF(H121="",TODAY(),H121),"Y")+DATEDIF(G121,IF(H121="",TODAY(),H121),"Ym")/12</f>
        <v>9.6666666666666661</v>
      </c>
      <c r="J121" s="7" cm="1">
        <f t="array" aca="1" ref="J121" ca="1">IF(ISNUMBER(I121), I121, DAY (I121) + HOUR (I121)/24)</f>
        <v>9.6666666666666661</v>
      </c>
      <c r="K121" t="str">
        <f ca="1">IF(I121&lt;1,"0-1 yr", IF(I121&lt;3,"0-3 Yrs", IF(I121&lt;5, "3-5 yrs","5+Yrs")))</f>
        <v>5+Yrs</v>
      </c>
      <c r="L121" t="str">
        <f ca="1">IF(M121&lt;&gt;"Left","",IF(Z121&gt;20,"Work-Life Balance",IF(OR(X121&lt;=2,Y121&lt;=2),"Work Culture",IF(Q121&lt;AVERAGEIFS($Q$2:$Q$201,$E$2:$E$201,E121),"Better Salary",IF(IFERROR(DATEDIF(V121,IF(H121="",TODAY(),H121),"y"),0)&gt;=3,"Career Growth","Better Opportunity")))))</f>
        <v/>
      </c>
      <c r="M121" t="s">
        <v>27</v>
      </c>
      <c r="N121" t="s">
        <v>28</v>
      </c>
      <c r="O121">
        <f t="shared" si="6"/>
        <v>9.1734899999999993</v>
      </c>
      <c r="P121" t="str">
        <f t="shared" si="7"/>
        <v>8L-10L</v>
      </c>
      <c r="Q121">
        <v>917349</v>
      </c>
      <c r="R121">
        <v>5</v>
      </c>
      <c r="S121" t="s">
        <v>52</v>
      </c>
      <c r="T121" t="s">
        <v>43</v>
      </c>
      <c r="U121" t="s">
        <v>31</v>
      </c>
      <c r="V121" s="1">
        <v>45230</v>
      </c>
      <c r="W121">
        <v>9.69</v>
      </c>
      <c r="X121">
        <v>5</v>
      </c>
      <c r="Y121">
        <v>3</v>
      </c>
      <c r="Z121">
        <v>0</v>
      </c>
      <c r="AA121">
        <v>72</v>
      </c>
      <c r="AB121">
        <v>34</v>
      </c>
    </row>
    <row r="122" spans="1:28" x14ac:dyDescent="0.35">
      <c r="A122" t="s">
        <v>143</v>
      </c>
      <c r="B122" t="s">
        <v>144</v>
      </c>
      <c r="C122">
        <v>54</v>
      </c>
      <c r="D122" t="s">
        <v>24</v>
      </c>
      <c r="E122" t="s">
        <v>64</v>
      </c>
      <c r="F122" t="s">
        <v>145</v>
      </c>
      <c r="G122" s="1">
        <v>42860</v>
      </c>
      <c r="I122" s="9">
        <f ca="1">DATEDIF(G122,IF(H122="",TODAY(),H122),"Y")+DATEDIF(G122,IF(H122="",TODAY(),H122),"Ym")/12</f>
        <v>9.25</v>
      </c>
      <c r="J122" s="7" cm="1">
        <f t="array" aca="1" ref="J122" ca="1">IF(ISNUMBER(I122), I122, DAY (I122) + HOUR (I122)/24)</f>
        <v>9.25</v>
      </c>
      <c r="K122" t="str">
        <f ca="1">IF(I122&lt;1,"0-1 yr", IF(I122&lt;3,"0-3 Yrs", IF(I122&lt;5, "3-5 yrs","5+Yrs")))</f>
        <v>5+Yrs</v>
      </c>
      <c r="L122" t="str">
        <f ca="1">IF(M122&lt;&gt;"Left","",IF(Z122&gt;20,"Work-Life Balance",IF(OR(X122&lt;=2,Y122&lt;=2),"Work Culture",IF(Q122&lt;AVERAGEIFS($Q$2:$Q$201,$E$2:$E$201,E122),"Better Salary",IF(IFERROR(DATEDIF(V122,IF(H122="",TODAY(),H122),"y"),0)&gt;=3,"Career Growth","Better Opportunity")))))</f>
        <v/>
      </c>
      <c r="M122" t="s">
        <v>27</v>
      </c>
      <c r="N122" t="s">
        <v>28</v>
      </c>
      <c r="O122">
        <f t="shared" si="6"/>
        <v>9.1760900000000003</v>
      </c>
      <c r="P122" t="str">
        <f t="shared" si="7"/>
        <v>8L-10L</v>
      </c>
      <c r="Q122">
        <v>917609</v>
      </c>
      <c r="R122">
        <v>3</v>
      </c>
      <c r="S122" t="s">
        <v>66</v>
      </c>
      <c r="T122" t="s">
        <v>43</v>
      </c>
      <c r="U122" t="s">
        <v>53</v>
      </c>
      <c r="W122">
        <v>9.32</v>
      </c>
      <c r="X122">
        <v>1</v>
      </c>
      <c r="Y122">
        <v>4</v>
      </c>
      <c r="Z122">
        <v>0</v>
      </c>
      <c r="AA122">
        <v>29</v>
      </c>
      <c r="AB122">
        <v>18</v>
      </c>
    </row>
    <row r="123" spans="1:28" x14ac:dyDescent="0.35">
      <c r="A123" t="s">
        <v>436</v>
      </c>
      <c r="B123" t="s">
        <v>437</v>
      </c>
      <c r="C123">
        <v>30</v>
      </c>
      <c r="D123" t="s">
        <v>24</v>
      </c>
      <c r="E123" t="s">
        <v>34</v>
      </c>
      <c r="F123" t="s">
        <v>35</v>
      </c>
      <c r="G123" s="1">
        <v>45618</v>
      </c>
      <c r="I123" s="9">
        <f ca="1">DATEDIF(G123,IF(H123="",TODAY(),H123),"Y")+DATEDIF(G123,IF(H123="",TODAY(),H123),"Ym")/12</f>
        <v>1.75</v>
      </c>
      <c r="J123" s="7" cm="1">
        <f t="array" aca="1" ref="J123" ca="1">IF(ISNUMBER(I123), I123, DAY (I123) + HOUR (I123)/24)</f>
        <v>1.75</v>
      </c>
      <c r="K123" t="str">
        <f ca="1">IF(I123&lt;1,"0-1 yr", IF(I123&lt;3,"0-3 Yrs", IF(I123&lt;5, "3-5 yrs","5+Yrs")))</f>
        <v>0-3 Yrs</v>
      </c>
      <c r="L123" t="str">
        <f ca="1">IF(M123&lt;&gt;"Left","",IF(Z123&gt;20,"Work-Life Balance",IF(OR(X123&lt;=2,Y123&lt;=2),"Work Culture",IF(Q123&lt;AVERAGEIFS($Q$2:$Q$201,$E$2:$E$201,E123),"Better Salary",IF(IFERROR(DATEDIF(V123,IF(H123="",TODAY(),H123),"y"),0)&gt;=3,"Career Growth","Better Opportunity")))))</f>
        <v/>
      </c>
      <c r="M123" t="s">
        <v>27</v>
      </c>
      <c r="N123" t="s">
        <v>28</v>
      </c>
      <c r="O123">
        <f t="shared" si="6"/>
        <v>9.4062900000000003</v>
      </c>
      <c r="P123" t="str">
        <f t="shared" si="7"/>
        <v>8L-10L</v>
      </c>
      <c r="Q123">
        <v>940629</v>
      </c>
      <c r="R123">
        <v>3</v>
      </c>
      <c r="S123" t="s">
        <v>73</v>
      </c>
      <c r="T123" t="s">
        <v>30</v>
      </c>
      <c r="U123" t="s">
        <v>122</v>
      </c>
      <c r="W123">
        <v>1.77</v>
      </c>
      <c r="X123">
        <v>3</v>
      </c>
      <c r="Y123">
        <v>1</v>
      </c>
      <c r="Z123">
        <v>11</v>
      </c>
      <c r="AA123">
        <v>28</v>
      </c>
      <c r="AB123">
        <v>18</v>
      </c>
    </row>
    <row r="124" spans="1:28" x14ac:dyDescent="0.35">
      <c r="A124" t="s">
        <v>449</v>
      </c>
      <c r="B124" t="s">
        <v>450</v>
      </c>
      <c r="C124">
        <v>54</v>
      </c>
      <c r="D124" t="s">
        <v>24</v>
      </c>
      <c r="E124" t="s">
        <v>64</v>
      </c>
      <c r="F124" t="s">
        <v>83</v>
      </c>
      <c r="G124" s="1">
        <v>46025</v>
      </c>
      <c r="I124" s="9">
        <f ca="1">DATEDIF(G124,IF(H124="",TODAY(),H124),"Y")+DATEDIF(G124,IF(H124="",TODAY(),H124),"Ym")/12</f>
        <v>0.66666666666666663</v>
      </c>
      <c r="J124" s="7" cm="1">
        <f t="array" aca="1" ref="J124" ca="1">IF(ISNUMBER(I124), I124, DAY (I124) + HOUR (I124)/24)</f>
        <v>0.66666666666666663</v>
      </c>
      <c r="K124" t="str">
        <f ca="1">IF(I124&lt;1,"0-1 yr", IF(I124&lt;3,"0-3 Yrs", IF(I124&lt;5, "3-5 yrs","5+Yrs")))</f>
        <v>0-1 yr</v>
      </c>
      <c r="L124" t="str">
        <f ca="1">IF(M124&lt;&gt;"Left","",IF(Z124&gt;20,"Work-Life Balance",IF(OR(X124&lt;=2,Y124&lt;=2),"Work Culture",IF(Q124&lt;AVERAGEIFS($Q$2:$Q$201,$E$2:$E$201,E124),"Better Salary",IF(IFERROR(DATEDIF(V124,IF(H124="",TODAY(),H124),"y"),0)&gt;=3,"Career Growth","Better Opportunity")))))</f>
        <v/>
      </c>
      <c r="M124" t="s">
        <v>27</v>
      </c>
      <c r="N124" t="s">
        <v>28</v>
      </c>
      <c r="O124">
        <f t="shared" si="6"/>
        <v>9.4073399999999996</v>
      </c>
      <c r="P124" t="str">
        <f t="shared" si="7"/>
        <v>8L-10L</v>
      </c>
      <c r="Q124">
        <v>940734</v>
      </c>
      <c r="R124">
        <v>4</v>
      </c>
      <c r="S124" t="s">
        <v>73</v>
      </c>
      <c r="T124" t="s">
        <v>43</v>
      </c>
      <c r="U124" t="s">
        <v>122</v>
      </c>
      <c r="V124" s="1">
        <v>46097</v>
      </c>
      <c r="W124">
        <v>1.33</v>
      </c>
      <c r="X124">
        <v>5</v>
      </c>
      <c r="Y124">
        <v>3</v>
      </c>
      <c r="Z124">
        <v>11</v>
      </c>
      <c r="AA124">
        <v>9</v>
      </c>
      <c r="AB124">
        <v>40</v>
      </c>
    </row>
    <row r="125" spans="1:28" x14ac:dyDescent="0.35">
      <c r="A125" t="s">
        <v>49</v>
      </c>
      <c r="B125" t="s">
        <v>50</v>
      </c>
      <c r="C125">
        <v>40</v>
      </c>
      <c r="D125" t="s">
        <v>24</v>
      </c>
      <c r="E125" t="s">
        <v>34</v>
      </c>
      <c r="F125" t="s">
        <v>51</v>
      </c>
      <c r="G125" s="1">
        <v>42026</v>
      </c>
      <c r="I125" s="9">
        <f ca="1">DATEDIF(G125,IF(H125="",TODAY(),H125),"Y")+DATEDIF(G125,IF(H125="",TODAY(),H125),"Ym")/12</f>
        <v>11.583333333333334</v>
      </c>
      <c r="J125" s="7" cm="1">
        <f t="array" aca="1" ref="J125" ca="1">IF(ISNUMBER(I125), I125, DAY (I125) + HOUR (I125)/24)</f>
        <v>11.583333333333334</v>
      </c>
      <c r="K125" t="str">
        <f ca="1">IF(I125&lt;1,"0-1 yr", IF(I125&lt;3,"0-3 Yrs", IF(I125&lt;5, "3-5 yrs","5+Yrs")))</f>
        <v>5+Yrs</v>
      </c>
      <c r="L125" t="str">
        <f ca="1">IF(M125&lt;&gt;"Left","",IF(Z125&gt;20,"Work-Life Balance",IF(OR(X125&lt;=2,Y125&lt;=2),"Work Culture",IF(Q125&lt;AVERAGEIFS($Q$2:$Q$201,$E$2:$E$201,E125),"Better Salary",IF(IFERROR(DATEDIF(V125,IF(H125="",TODAY(),H125),"y"),0)&gt;=3,"Career Growth","Better Opportunity")))))</f>
        <v/>
      </c>
      <c r="M125" t="s">
        <v>27</v>
      </c>
      <c r="N125" t="s">
        <v>28</v>
      </c>
      <c r="O125">
        <f t="shared" si="6"/>
        <v>9.5058600000000002</v>
      </c>
      <c r="P125" t="str">
        <f t="shared" si="7"/>
        <v>8L-10L</v>
      </c>
      <c r="Q125">
        <v>950586</v>
      </c>
      <c r="R125">
        <v>5</v>
      </c>
      <c r="S125" t="s">
        <v>52</v>
      </c>
      <c r="T125" t="s">
        <v>43</v>
      </c>
      <c r="U125" t="s">
        <v>53</v>
      </c>
      <c r="V125" s="1">
        <v>45000</v>
      </c>
      <c r="W125">
        <v>11.6</v>
      </c>
      <c r="X125">
        <v>3</v>
      </c>
      <c r="Y125">
        <v>3</v>
      </c>
      <c r="Z125">
        <v>5</v>
      </c>
      <c r="AA125">
        <v>56</v>
      </c>
      <c r="AB125">
        <v>27</v>
      </c>
    </row>
    <row r="126" spans="1:28" x14ac:dyDescent="0.35">
      <c r="A126" t="s">
        <v>81</v>
      </c>
      <c r="B126" t="s">
        <v>82</v>
      </c>
      <c r="C126">
        <v>30</v>
      </c>
      <c r="D126" t="s">
        <v>24</v>
      </c>
      <c r="E126" t="s">
        <v>64</v>
      </c>
      <c r="F126" t="s">
        <v>83</v>
      </c>
      <c r="G126" s="1">
        <v>42262</v>
      </c>
      <c r="H126" s="1">
        <v>43465</v>
      </c>
      <c r="I126" s="9">
        <f ca="1">DATEDIF(G126,IF(H126="",TODAY(),H126),"Y")+DATEDIF(G126,IF(H126="",TODAY(),H126),"Ym")/12</f>
        <v>3.25</v>
      </c>
      <c r="J126" s="7" cm="1">
        <f t="array" aca="1" ref="J126" ca="1">IF(ISNUMBER(I126), I126, DAY (I126) + HOUR (I126)/24)</f>
        <v>3.25</v>
      </c>
      <c r="K126" s="1" t="str">
        <f ca="1">IF(I126&lt;1,"0-1 yr", IF(I126&lt;3,"0-3 Yrs", IF(I126&lt;5, "3-5 yrs","5+Yrs")))</f>
        <v>3-5 yrs</v>
      </c>
      <c r="L126" t="str">
        <f ca="1">IF(M126&lt;&gt;"Left","",IF(Z126&gt;20,"Work-Life Balance",IF(OR(X126&lt;=2,Y126&lt;=2),"Work Culture",IF(Q126&lt;AVERAGEIFS($Q$2:$Q$201,$E$2:$E$201,E126),"Better Salary",IF(IFERROR(DATEDIF(V126,IF(H126="",TODAY(),H126),"y"),0)&gt;=3,"Career Growth","Better Opportunity")))))</f>
        <v>Work Culture</v>
      </c>
      <c r="M126" t="s">
        <v>69</v>
      </c>
      <c r="N126" t="s">
        <v>70</v>
      </c>
      <c r="O126">
        <f t="shared" si="6"/>
        <v>9.6116799999999998</v>
      </c>
      <c r="P126" t="str">
        <f t="shared" si="7"/>
        <v>8L-10L</v>
      </c>
      <c r="Q126">
        <v>961168</v>
      </c>
      <c r="R126">
        <v>3</v>
      </c>
      <c r="S126" t="s">
        <v>29</v>
      </c>
      <c r="T126" t="s">
        <v>43</v>
      </c>
      <c r="U126" t="s">
        <v>84</v>
      </c>
      <c r="V126" s="1">
        <v>44672</v>
      </c>
      <c r="W126">
        <v>3.29</v>
      </c>
      <c r="X126">
        <v>4</v>
      </c>
      <c r="Y126">
        <v>1</v>
      </c>
      <c r="Z126">
        <v>12</v>
      </c>
      <c r="AA126">
        <v>33</v>
      </c>
      <c r="AB126">
        <v>14</v>
      </c>
    </row>
    <row r="127" spans="1:28" x14ac:dyDescent="0.35">
      <c r="A127" t="s">
        <v>451</v>
      </c>
      <c r="B127" t="s">
        <v>452</v>
      </c>
      <c r="C127">
        <v>52</v>
      </c>
      <c r="D127" t="s">
        <v>24</v>
      </c>
      <c r="E127" t="s">
        <v>34</v>
      </c>
      <c r="F127" t="s">
        <v>51</v>
      </c>
      <c r="G127" s="1">
        <v>45789</v>
      </c>
      <c r="I127" s="9">
        <f ca="1">DATEDIF(G127,IF(H127="",TODAY(),H127),"Y")+DATEDIF(G127,IF(H127="",TODAY(),H127),"Ym")/12</f>
        <v>1.25</v>
      </c>
      <c r="J127" s="7" cm="1">
        <f t="array" aca="1" ref="J127" ca="1">IF(ISNUMBER(I127), I127, DAY (I127) + HOUR (I127)/24)</f>
        <v>1.25</v>
      </c>
      <c r="K127" t="str">
        <f ca="1">IF(I127&lt;1,"0-1 yr", IF(I127&lt;3,"0-3 Yrs", IF(I127&lt;5, "3-5 yrs","5+Yrs")))</f>
        <v>0-3 Yrs</v>
      </c>
      <c r="L127" t="str">
        <f ca="1">IF(M127&lt;&gt;"Left","",IF(Z127&gt;20,"Work-Life Balance",IF(OR(X127&lt;=2,Y127&lt;=2),"Work Culture",IF(Q127&lt;AVERAGEIFS($Q$2:$Q$201,$E$2:$E$201,E127),"Better Salary",IF(IFERROR(DATEDIF(V127,IF(H127="",TODAY(),H127),"y"),0)&gt;=3,"Career Growth","Better Opportunity")))))</f>
        <v/>
      </c>
      <c r="M127" t="s">
        <v>27</v>
      </c>
      <c r="N127" t="s">
        <v>28</v>
      </c>
      <c r="O127">
        <f t="shared" si="6"/>
        <v>9.9765800000000002</v>
      </c>
      <c r="P127" t="str">
        <f t="shared" si="7"/>
        <v>8L-10L</v>
      </c>
      <c r="Q127">
        <v>997658</v>
      </c>
      <c r="R127">
        <v>4</v>
      </c>
      <c r="S127" t="s">
        <v>77</v>
      </c>
      <c r="T127" t="s">
        <v>30</v>
      </c>
      <c r="U127" t="s">
        <v>44</v>
      </c>
      <c r="V127" s="1">
        <v>46139</v>
      </c>
      <c r="W127">
        <v>1.3</v>
      </c>
      <c r="X127">
        <v>2</v>
      </c>
      <c r="Y127">
        <v>2</v>
      </c>
      <c r="Z127">
        <v>23</v>
      </c>
      <c r="AA127">
        <v>36</v>
      </c>
      <c r="AB127">
        <v>23</v>
      </c>
    </row>
    <row r="128" spans="1:28" x14ac:dyDescent="0.35">
      <c r="A128" t="s">
        <v>125</v>
      </c>
      <c r="B128" t="s">
        <v>126</v>
      </c>
      <c r="C128">
        <v>57</v>
      </c>
      <c r="D128" t="s">
        <v>24</v>
      </c>
      <c r="E128" t="s">
        <v>34</v>
      </c>
      <c r="F128" t="s">
        <v>51</v>
      </c>
      <c r="G128" s="1">
        <v>42545</v>
      </c>
      <c r="I128" s="9">
        <f ca="1">DATEDIF(G128,IF(H128="",TODAY(),H128),"Y")+DATEDIF(G128,IF(H128="",TODAY(),H128),"Ym")/12</f>
        <v>10.166666666666666</v>
      </c>
      <c r="J128" s="7" cm="1">
        <f t="array" aca="1" ref="J128" ca="1">IF(ISNUMBER(I128), I128, DAY (I128) + HOUR (I128)/24)</f>
        <v>10.166666666666666</v>
      </c>
      <c r="K128" t="str">
        <f ca="1">IF(I128&lt;1,"0-1 yr", IF(I128&lt;3,"0-3 Yrs", IF(I128&lt;5, "3-5 yrs","5+Yrs")))</f>
        <v>5+Yrs</v>
      </c>
      <c r="L128" t="str">
        <f ca="1">IF(M128&lt;&gt;"Left","",IF(Z128&gt;20,"Work-Life Balance",IF(OR(X128&lt;=2,Y128&lt;=2),"Work Culture",IF(Q128&lt;AVERAGEIFS($Q$2:$Q$201,$E$2:$E$201,E128),"Better Salary",IF(IFERROR(DATEDIF(V128,IF(H128="",TODAY(),H128),"y"),0)&gt;=3,"Career Growth","Better Opportunity")))))</f>
        <v/>
      </c>
      <c r="M128" t="s">
        <v>27</v>
      </c>
      <c r="N128" t="s">
        <v>28</v>
      </c>
      <c r="O128">
        <f t="shared" si="6"/>
        <v>10.165990000000001</v>
      </c>
      <c r="P128" t="str">
        <f t="shared" si="7"/>
        <v>10L-12L</v>
      </c>
      <c r="Q128">
        <v>1016599</v>
      </c>
      <c r="R128">
        <v>3</v>
      </c>
      <c r="S128" t="s">
        <v>73</v>
      </c>
      <c r="T128" t="s">
        <v>30</v>
      </c>
      <c r="U128" t="s">
        <v>31</v>
      </c>
      <c r="V128" s="1">
        <v>44738</v>
      </c>
      <c r="W128">
        <v>10.18</v>
      </c>
      <c r="X128">
        <v>3</v>
      </c>
      <c r="Y128">
        <v>1</v>
      </c>
      <c r="Z128">
        <v>0</v>
      </c>
      <c r="AA128">
        <v>10</v>
      </c>
      <c r="AB128">
        <v>11</v>
      </c>
    </row>
    <row r="129" spans="1:28" x14ac:dyDescent="0.35">
      <c r="A129" t="s">
        <v>275</v>
      </c>
      <c r="B129" t="s">
        <v>276</v>
      </c>
      <c r="C129">
        <v>37</v>
      </c>
      <c r="D129" t="s">
        <v>41</v>
      </c>
      <c r="E129" t="s">
        <v>64</v>
      </c>
      <c r="F129" t="s">
        <v>65</v>
      </c>
      <c r="G129" s="1">
        <v>44185</v>
      </c>
      <c r="I129" s="9">
        <f ca="1">DATEDIF(G129,IF(H129="",TODAY(),H129),"Y")+DATEDIF(G129,IF(H129="",TODAY(),H129),"Ym")/12</f>
        <v>5.666666666666667</v>
      </c>
      <c r="J129" s="7" cm="1">
        <f t="array" aca="1" ref="J129" ca="1">IF(ISNUMBER(I129), I129, DAY (I129) + HOUR (I129)/24)</f>
        <v>5.666666666666667</v>
      </c>
      <c r="K129" t="str">
        <f ca="1">IF(I129&lt;1,"0-1 yr", IF(I129&lt;3,"0-3 Yrs", IF(I129&lt;5, "3-5 yrs","5+Yrs")))</f>
        <v>5+Yrs</v>
      </c>
      <c r="L129" t="str">
        <f ca="1">IF(M129&lt;&gt;"Left","",IF(Z129&gt;20,"Work-Life Balance",IF(OR(X129&lt;=2,Y129&lt;=2),"Work Culture",IF(Q129&lt;AVERAGEIFS($Q$2:$Q$201,$E$2:$E$201,E129),"Better Salary",IF(IFERROR(DATEDIF(V129,IF(H129="",TODAY(),H129),"y"),0)&gt;=3,"Career Growth","Better Opportunity")))))</f>
        <v/>
      </c>
      <c r="M129" t="s">
        <v>27</v>
      </c>
      <c r="N129" t="s">
        <v>28</v>
      </c>
      <c r="O129">
        <f t="shared" si="6"/>
        <v>10.22608</v>
      </c>
      <c r="P129" t="str">
        <f t="shared" si="7"/>
        <v>10L-12L</v>
      </c>
      <c r="Q129">
        <v>1022608</v>
      </c>
      <c r="R129">
        <v>3</v>
      </c>
      <c r="S129" t="s">
        <v>73</v>
      </c>
      <c r="T129" t="s">
        <v>30</v>
      </c>
      <c r="U129" t="s">
        <v>84</v>
      </c>
      <c r="V129" s="1">
        <v>45926</v>
      </c>
      <c r="W129">
        <v>5.69</v>
      </c>
      <c r="X129">
        <v>5</v>
      </c>
      <c r="Y129">
        <v>1</v>
      </c>
      <c r="Z129">
        <v>22</v>
      </c>
      <c r="AA129">
        <v>52</v>
      </c>
      <c r="AB129">
        <v>19</v>
      </c>
    </row>
    <row r="130" spans="1:28" x14ac:dyDescent="0.35">
      <c r="A130" t="s">
        <v>457</v>
      </c>
      <c r="B130" t="s">
        <v>452</v>
      </c>
      <c r="C130">
        <v>54</v>
      </c>
      <c r="D130" t="s">
        <v>41</v>
      </c>
      <c r="E130" t="s">
        <v>64</v>
      </c>
      <c r="F130" t="s">
        <v>145</v>
      </c>
      <c r="G130" s="1">
        <v>45833</v>
      </c>
      <c r="I130" s="9">
        <f ca="1">DATEDIF(G130,IF(H130="",TODAY(),H130),"Y")+DATEDIF(G130,IF(H130="",TODAY(),H130),"Ym")/12</f>
        <v>1.1666666666666667</v>
      </c>
      <c r="J130" s="7" cm="1">
        <f t="array" aca="1" ref="J130" ca="1">IF(ISNUMBER(I130), I130, DAY (I130) + HOUR (I130)/24)</f>
        <v>1.1666666666666667</v>
      </c>
      <c r="K130" t="str">
        <f ca="1">IF(I130&lt;1,"0-1 yr", IF(I130&lt;3,"0-3 Yrs", IF(I130&lt;5, "3-5 yrs","5+Yrs")))</f>
        <v>0-3 Yrs</v>
      </c>
      <c r="L130" t="str">
        <f ca="1">IF(M130&lt;&gt;"Left","",IF(Z130&gt;20,"Work-Life Balance",IF(OR(X130&lt;=2,Y130&lt;=2),"Work Culture",IF(Q130&lt;AVERAGEIFS($Q$2:$Q$201,$E$2:$E$201,E130),"Better Salary",IF(IFERROR(DATEDIF(V130,IF(H130="",TODAY(),H130),"y"),0)&gt;=3,"Career Growth","Better Opportunity")))))</f>
        <v/>
      </c>
      <c r="M130" t="s">
        <v>27</v>
      </c>
      <c r="N130" t="s">
        <v>28</v>
      </c>
      <c r="O130">
        <f t="shared" ref="O130:O161" si="8">Q130*1/100000</f>
        <v>10.693479999999999</v>
      </c>
      <c r="P130" t="str">
        <f t="shared" ref="P130:P161" si="9">IF(Q130*1&lt;600000,"3L-6L",IF(Q130*1&lt;800000,"6L-8L",IF(Q130*1&lt;1000000,"8L-10L",IF(Q130*1&lt;1200000,"10L-12L",IF(Q130*1&lt;1500000,"12L-15L",IF(Q130*1&lt;2000000,"15L-20L","20L-30L"))))))</f>
        <v>10L-12L</v>
      </c>
      <c r="Q130">
        <v>1069348</v>
      </c>
      <c r="R130">
        <v>3</v>
      </c>
      <c r="S130" t="s">
        <v>73</v>
      </c>
      <c r="T130" t="s">
        <v>30</v>
      </c>
      <c r="U130" t="s">
        <v>84</v>
      </c>
      <c r="W130">
        <v>1.18</v>
      </c>
      <c r="X130">
        <v>2</v>
      </c>
      <c r="Y130">
        <v>5</v>
      </c>
      <c r="Z130">
        <v>22</v>
      </c>
      <c r="AA130">
        <v>55</v>
      </c>
      <c r="AB130">
        <v>18</v>
      </c>
    </row>
    <row r="131" spans="1:28" x14ac:dyDescent="0.35">
      <c r="A131" t="s">
        <v>153</v>
      </c>
      <c r="B131" t="s">
        <v>154</v>
      </c>
      <c r="C131">
        <v>24</v>
      </c>
      <c r="D131" t="s">
        <v>24</v>
      </c>
      <c r="E131" t="s">
        <v>64</v>
      </c>
      <c r="F131" t="s">
        <v>83</v>
      </c>
      <c r="G131" s="1">
        <v>42956</v>
      </c>
      <c r="I131" s="9">
        <f ca="1">DATEDIF(G131,IF(H131="",TODAY(),H131),"Y")+DATEDIF(G131,IF(H131="",TODAY(),H131),"Ym")/12</f>
        <v>9</v>
      </c>
      <c r="J131" s="7" cm="1">
        <f t="array" aca="1" ref="J131" ca="1">IF(ISNUMBER(I131), I131, DAY (I131) + HOUR (I131)/24)</f>
        <v>9</v>
      </c>
      <c r="K131" t="str">
        <f ca="1">IF(I131&lt;1,"0-1 yr", IF(I131&lt;3,"0-3 Yrs", IF(I131&lt;5, "3-5 yrs","5+Yrs")))</f>
        <v>5+Yrs</v>
      </c>
      <c r="L131" t="str">
        <f ca="1">IF(M131&lt;&gt;"Left","",IF(Z131&gt;20,"Work-Life Balance",IF(OR(X131&lt;=2,Y131&lt;=2),"Work Culture",IF(Q131&lt;AVERAGEIFS($Q$2:$Q$201,$E$2:$E$201,E131),"Better Salary",IF(IFERROR(DATEDIF(V131,IF(H131="",TODAY(),H131),"y"),0)&gt;=3,"Career Growth","Better Opportunity")))))</f>
        <v/>
      </c>
      <c r="M131" t="s">
        <v>27</v>
      </c>
      <c r="N131" t="s">
        <v>28</v>
      </c>
      <c r="O131">
        <f t="shared" si="8"/>
        <v>11.40489</v>
      </c>
      <c r="P131" t="str">
        <f t="shared" si="9"/>
        <v>10L-12L</v>
      </c>
      <c r="Q131">
        <v>1140489</v>
      </c>
      <c r="R131">
        <v>3</v>
      </c>
      <c r="S131" t="s">
        <v>52</v>
      </c>
      <c r="T131" t="s">
        <v>30</v>
      </c>
      <c r="U131" t="s">
        <v>44</v>
      </c>
      <c r="V131" s="1">
        <v>43294</v>
      </c>
      <c r="W131">
        <v>9.06</v>
      </c>
      <c r="X131">
        <v>2</v>
      </c>
      <c r="Y131">
        <v>1</v>
      </c>
      <c r="Z131">
        <v>18</v>
      </c>
      <c r="AA131">
        <v>61</v>
      </c>
      <c r="AB131">
        <v>30</v>
      </c>
    </row>
    <row r="132" spans="1:28" x14ac:dyDescent="0.35">
      <c r="A132" t="s">
        <v>173</v>
      </c>
      <c r="B132" t="s">
        <v>174</v>
      </c>
      <c r="C132">
        <v>31</v>
      </c>
      <c r="D132" t="s">
        <v>41</v>
      </c>
      <c r="E132" t="s">
        <v>64</v>
      </c>
      <c r="F132" t="s">
        <v>83</v>
      </c>
      <c r="G132" s="1">
        <v>43198</v>
      </c>
      <c r="I132" s="9">
        <f ca="1">DATEDIF(G132,IF(H132="",TODAY(),H132),"Y")+DATEDIF(G132,IF(H132="",TODAY(),H132),"Ym")/12</f>
        <v>8.3333333333333339</v>
      </c>
      <c r="J132" s="7" cm="1">
        <f t="array" aca="1" ref="J132" ca="1">IF(ISNUMBER(I132), I132, DAY (I132) + HOUR (I132)/24)</f>
        <v>8.3333333333333339</v>
      </c>
      <c r="K132" t="str">
        <f ca="1">IF(I132&lt;1,"0-1 yr", IF(I132&lt;3,"0-3 Yrs", IF(I132&lt;5, "3-5 yrs","5+Yrs")))</f>
        <v>5+Yrs</v>
      </c>
      <c r="L132" t="str">
        <f ca="1">IF(M132&lt;&gt;"Left","",IF(Z132&gt;20,"Work-Life Balance",IF(OR(X132&lt;=2,Y132&lt;=2),"Work Culture",IF(Q132&lt;AVERAGEIFS($Q$2:$Q$201,$E$2:$E$201,E132),"Better Salary",IF(IFERROR(DATEDIF(V132,IF(H132="",TODAY(),H132),"y"),0)&gt;=3,"Career Growth","Better Opportunity")))))</f>
        <v/>
      </c>
      <c r="M132" t="s">
        <v>27</v>
      </c>
      <c r="N132" t="s">
        <v>28</v>
      </c>
      <c r="O132">
        <f t="shared" si="8"/>
        <v>11.50648</v>
      </c>
      <c r="P132" t="str">
        <f t="shared" si="9"/>
        <v>10L-12L</v>
      </c>
      <c r="Q132">
        <v>1150648</v>
      </c>
      <c r="R132">
        <v>4</v>
      </c>
      <c r="S132" t="s">
        <v>29</v>
      </c>
      <c r="T132" t="s">
        <v>30</v>
      </c>
      <c r="U132" t="s">
        <v>31</v>
      </c>
      <c r="W132">
        <v>8.39</v>
      </c>
      <c r="X132">
        <v>3</v>
      </c>
      <c r="Y132">
        <v>4</v>
      </c>
      <c r="Z132">
        <v>20</v>
      </c>
      <c r="AA132">
        <v>30</v>
      </c>
      <c r="AB132">
        <v>42</v>
      </c>
    </row>
    <row r="133" spans="1:28" x14ac:dyDescent="0.35">
      <c r="A133" t="s">
        <v>445</v>
      </c>
      <c r="B133" t="s">
        <v>366</v>
      </c>
      <c r="C133">
        <v>24</v>
      </c>
      <c r="D133" t="s">
        <v>24</v>
      </c>
      <c r="E133" t="s">
        <v>64</v>
      </c>
      <c r="F133" t="s">
        <v>83</v>
      </c>
      <c r="G133" s="1">
        <v>46111</v>
      </c>
      <c r="I133" s="9">
        <f ca="1">DATEDIF(G133,IF(H133="",TODAY(),H133),"Y")+DATEDIF(G133,IF(H133="",TODAY(),H133),"Ym")/12</f>
        <v>0.41666666666666669</v>
      </c>
      <c r="J133" s="7" cm="1">
        <f t="array" aca="1" ref="J133" ca="1">IF(ISNUMBER(I133), I133, DAY (I133) + HOUR (I133)/24)</f>
        <v>0.41666666666666669</v>
      </c>
      <c r="K133" t="str">
        <f ca="1">IF(I133&lt;1,"0-1 yr", IF(I133&lt;3,"0-3 Yrs", IF(I133&lt;5, "3-5 yrs","5+Yrs")))</f>
        <v>0-1 yr</v>
      </c>
      <c r="L133" t="str">
        <f ca="1">IF(M133&lt;&gt;"Left","",IF(Z133&gt;20,"Work-Life Balance",IF(OR(X133&lt;=2,Y133&lt;=2),"Work Culture",IF(Q133&lt;AVERAGEIFS($Q$2:$Q$201,$E$2:$E$201,E133),"Better Salary",IF(IFERROR(DATEDIF(V133,IF(H133="",TODAY(),H133),"y"),0)&gt;=3,"Career Growth","Better Opportunity")))))</f>
        <v/>
      </c>
      <c r="M133" t="s">
        <v>27</v>
      </c>
      <c r="N133" t="s">
        <v>28</v>
      </c>
      <c r="O133">
        <f t="shared" si="8"/>
        <v>11.65977</v>
      </c>
      <c r="P133" t="str">
        <f t="shared" si="9"/>
        <v>10L-12L</v>
      </c>
      <c r="Q133">
        <v>1165977</v>
      </c>
      <c r="R133">
        <v>3</v>
      </c>
      <c r="S133" t="s">
        <v>29</v>
      </c>
      <c r="T133" t="s">
        <v>37</v>
      </c>
      <c r="U133" t="s">
        <v>84</v>
      </c>
      <c r="V133" s="1">
        <v>46160</v>
      </c>
      <c r="W133">
        <v>1.42</v>
      </c>
      <c r="X133">
        <v>4</v>
      </c>
      <c r="Y133">
        <v>2</v>
      </c>
      <c r="Z133">
        <v>21</v>
      </c>
      <c r="AA133">
        <v>9</v>
      </c>
      <c r="AB133">
        <v>31</v>
      </c>
    </row>
    <row r="134" spans="1:28" x14ac:dyDescent="0.35">
      <c r="A134" t="s">
        <v>273</v>
      </c>
      <c r="B134" t="s">
        <v>274</v>
      </c>
      <c r="C134">
        <v>26</v>
      </c>
      <c r="D134" t="s">
        <v>41</v>
      </c>
      <c r="E134" t="s">
        <v>64</v>
      </c>
      <c r="F134" t="s">
        <v>145</v>
      </c>
      <c r="G134" s="1">
        <v>44179</v>
      </c>
      <c r="I134" s="9">
        <f ca="1">DATEDIF(G134,IF(H134="",TODAY(),H134),"Y")+DATEDIF(G134,IF(H134="",TODAY(),H134),"Ym")/12</f>
        <v>5.666666666666667</v>
      </c>
      <c r="J134" s="7" cm="1">
        <f t="array" aca="1" ref="J134" ca="1">IF(ISNUMBER(I134), I134, DAY (I134) + HOUR (I134)/24)</f>
        <v>5.666666666666667</v>
      </c>
      <c r="K134" t="str">
        <f ca="1">IF(I134&lt;1,"0-1 yr", IF(I134&lt;3,"0-3 Yrs", IF(I134&lt;5, "3-5 yrs","5+Yrs")))</f>
        <v>5+Yrs</v>
      </c>
      <c r="L134" t="str">
        <f ca="1">IF(M134&lt;&gt;"Left","",IF(Z134&gt;20,"Work-Life Balance",IF(OR(X134&lt;=2,Y134&lt;=2),"Work Culture",IF(Q134&lt;AVERAGEIFS($Q$2:$Q$201,$E$2:$E$201,E134),"Better Salary",IF(IFERROR(DATEDIF(V134,IF(H134="",TODAY(),H134),"y"),0)&gt;=3,"Career Growth","Better Opportunity")))))</f>
        <v/>
      </c>
      <c r="M134" t="s">
        <v>27</v>
      </c>
      <c r="N134" t="s">
        <v>28</v>
      </c>
      <c r="O134">
        <f t="shared" si="8"/>
        <v>12.066839999999999</v>
      </c>
      <c r="P134" t="str">
        <f t="shared" si="9"/>
        <v>12L-15L</v>
      </c>
      <c r="Q134">
        <v>1206684</v>
      </c>
      <c r="R134">
        <v>3</v>
      </c>
      <c r="S134" t="s">
        <v>52</v>
      </c>
      <c r="T134" t="s">
        <v>30</v>
      </c>
      <c r="U134" t="s">
        <v>122</v>
      </c>
      <c r="V134" s="1">
        <v>46167</v>
      </c>
      <c r="W134">
        <v>5.71</v>
      </c>
      <c r="X134">
        <v>1</v>
      </c>
      <c r="Y134">
        <v>4</v>
      </c>
      <c r="Z134">
        <v>9</v>
      </c>
      <c r="AA134">
        <v>23</v>
      </c>
      <c r="AB134">
        <v>33</v>
      </c>
    </row>
    <row r="135" spans="1:28" x14ac:dyDescent="0.35">
      <c r="A135" t="s">
        <v>212</v>
      </c>
      <c r="B135" t="s">
        <v>213</v>
      </c>
      <c r="C135">
        <v>49</v>
      </c>
      <c r="D135" t="s">
        <v>41</v>
      </c>
      <c r="E135" t="s">
        <v>64</v>
      </c>
      <c r="F135" t="s">
        <v>83</v>
      </c>
      <c r="G135" s="1">
        <v>43528</v>
      </c>
      <c r="I135" s="9">
        <f ca="1">DATEDIF(G135,IF(H135="",TODAY(),H135),"Y")+DATEDIF(G135,IF(H135="",TODAY(),H135),"Ym")/12</f>
        <v>7.416666666666667</v>
      </c>
      <c r="J135" s="7" cm="1">
        <f t="array" aca="1" ref="J135" ca="1">IF(ISNUMBER(I135), I135, DAY (I135) + HOUR (I135)/24)</f>
        <v>7.416666666666667</v>
      </c>
      <c r="K135" t="str">
        <f ca="1">IF(I135&lt;1,"0-1 yr", IF(I135&lt;3,"0-3 Yrs", IF(I135&lt;5, "3-5 yrs","5+Yrs")))</f>
        <v>5+Yrs</v>
      </c>
      <c r="L135" t="str">
        <f ca="1">IF(M135&lt;&gt;"Left","",IF(Z135&gt;20,"Work-Life Balance",IF(OR(X135&lt;=2,Y135&lt;=2),"Work Culture",IF(Q135&lt;AVERAGEIFS($Q$2:$Q$201,$E$2:$E$201,E135),"Better Salary",IF(IFERROR(DATEDIF(V135,IF(H135="",TODAY(),H135),"y"),0)&gt;=3,"Career Growth","Better Opportunity")))))</f>
        <v/>
      </c>
      <c r="M135" t="s">
        <v>27</v>
      </c>
      <c r="N135" t="s">
        <v>28</v>
      </c>
      <c r="O135">
        <f t="shared" si="8"/>
        <v>12.124919999999999</v>
      </c>
      <c r="P135" t="str">
        <f t="shared" si="9"/>
        <v>12L-15L</v>
      </c>
      <c r="Q135">
        <v>1212492</v>
      </c>
      <c r="R135">
        <v>2</v>
      </c>
      <c r="S135" t="s">
        <v>77</v>
      </c>
      <c r="T135" t="s">
        <v>30</v>
      </c>
      <c r="U135" t="s">
        <v>84</v>
      </c>
      <c r="V135" s="1">
        <v>45331</v>
      </c>
      <c r="W135">
        <v>7.49</v>
      </c>
      <c r="X135">
        <v>2</v>
      </c>
      <c r="Y135">
        <v>1</v>
      </c>
      <c r="Z135">
        <v>6</v>
      </c>
      <c r="AA135">
        <v>30</v>
      </c>
      <c r="AB135">
        <v>35</v>
      </c>
    </row>
    <row r="136" spans="1:28" x14ac:dyDescent="0.35">
      <c r="A136" t="s">
        <v>424</v>
      </c>
      <c r="B136" t="s">
        <v>425</v>
      </c>
      <c r="C136">
        <v>34</v>
      </c>
      <c r="D136" t="s">
        <v>24</v>
      </c>
      <c r="E136" t="s">
        <v>64</v>
      </c>
      <c r="F136" t="s">
        <v>65</v>
      </c>
      <c r="G136" s="1">
        <v>46211</v>
      </c>
      <c r="I136" s="9">
        <f ca="1">DATEDIF(G136,IF(H136="",TODAY(),H136),"Y")+DATEDIF(G136,IF(H136="",TODAY(),H136),"Ym")/12</f>
        <v>8.3333333333333329E-2</v>
      </c>
      <c r="J136" s="7" cm="1">
        <f t="array" aca="1" ref="J136" ca="1">IF(ISNUMBER(I136), I136, DAY (I136) + HOUR (I136)/24)</f>
        <v>8.3333333333333329E-2</v>
      </c>
      <c r="K136" t="str">
        <f ca="1">IF(I136&lt;1,"0-1 yr", IF(I136&lt;3,"0-3 Yrs", IF(I136&lt;5, "3-5 yrs","5+Yrs")))</f>
        <v>0-1 yr</v>
      </c>
      <c r="L136" t="str">
        <f ca="1">IF(M136&lt;&gt;"Left","",IF(Z136&gt;20,"Work-Life Balance",IF(OR(X136&lt;=2,Y136&lt;=2),"Work Culture",IF(Q136&lt;AVERAGEIFS($Q$2:$Q$201,$E$2:$E$201,E136),"Better Salary",IF(IFERROR(DATEDIF(V136,IF(H136="",TODAY(),H136),"y"),0)&gt;=3,"Career Growth","Better Opportunity")))))</f>
        <v/>
      </c>
      <c r="M136" t="s">
        <v>27</v>
      </c>
      <c r="N136" t="s">
        <v>28</v>
      </c>
      <c r="O136">
        <f t="shared" si="8"/>
        <v>12.350910000000001</v>
      </c>
      <c r="P136" t="str">
        <f t="shared" si="9"/>
        <v>12L-15L</v>
      </c>
      <c r="Q136">
        <v>1235091</v>
      </c>
      <c r="R136">
        <v>4</v>
      </c>
      <c r="S136" t="s">
        <v>29</v>
      </c>
      <c r="T136" t="s">
        <v>30</v>
      </c>
      <c r="U136" t="s">
        <v>122</v>
      </c>
      <c r="V136" s="1">
        <v>45815</v>
      </c>
      <c r="W136">
        <v>2.14</v>
      </c>
      <c r="X136">
        <v>4</v>
      </c>
      <c r="Y136">
        <v>5</v>
      </c>
      <c r="Z136">
        <v>16</v>
      </c>
      <c r="AA136">
        <v>36</v>
      </c>
      <c r="AB136">
        <v>35</v>
      </c>
    </row>
    <row r="137" spans="1:28" x14ac:dyDescent="0.35">
      <c r="A137" t="s">
        <v>377</v>
      </c>
      <c r="B137" t="s">
        <v>378</v>
      </c>
      <c r="C137">
        <v>42</v>
      </c>
      <c r="D137" t="s">
        <v>41</v>
      </c>
      <c r="E137" t="s">
        <v>64</v>
      </c>
      <c r="F137" t="s">
        <v>145</v>
      </c>
      <c r="G137" s="1">
        <v>45143</v>
      </c>
      <c r="I137" s="9">
        <f ca="1">DATEDIF(G137,IF(H137="",TODAY(),H137),"Y")+DATEDIF(G137,IF(H137="",TODAY(),H137),"Ym")/12</f>
        <v>3</v>
      </c>
      <c r="J137" s="7" cm="1">
        <f t="array" aca="1" ref="J137" ca="1">IF(ISNUMBER(I137), I137, DAY (I137) + HOUR (I137)/24)</f>
        <v>3</v>
      </c>
      <c r="K137" t="str">
        <f ca="1">IF(I137&lt;1,"0-1 yr", IF(I137&lt;3,"0-3 Yrs", IF(I137&lt;5, "3-5 yrs","5+Yrs")))</f>
        <v>3-5 yrs</v>
      </c>
      <c r="L137" t="str">
        <f ca="1">IF(M137&lt;&gt;"Left","",IF(Z137&gt;20,"Work-Life Balance",IF(OR(X137&lt;=2,Y137&lt;=2),"Work Culture",IF(Q137&lt;AVERAGEIFS($Q$2:$Q$201,$E$2:$E$201,E137),"Better Salary",IF(IFERROR(DATEDIF(V137,IF(H137="",TODAY(),H137),"y"),0)&gt;=3,"Career Growth","Better Opportunity")))))</f>
        <v/>
      </c>
      <c r="M137" t="s">
        <v>27</v>
      </c>
      <c r="N137" t="s">
        <v>28</v>
      </c>
      <c r="O137">
        <f t="shared" si="8"/>
        <v>12.38283</v>
      </c>
      <c r="P137" t="str">
        <f t="shared" si="9"/>
        <v>12L-15L</v>
      </c>
      <c r="Q137">
        <v>1238283</v>
      </c>
      <c r="R137">
        <v>3</v>
      </c>
      <c r="S137" t="s">
        <v>73</v>
      </c>
      <c r="T137" t="s">
        <v>30</v>
      </c>
      <c r="U137" t="s">
        <v>44</v>
      </c>
      <c r="V137" s="1">
        <v>45522</v>
      </c>
      <c r="W137">
        <v>3.07</v>
      </c>
      <c r="X137">
        <v>5</v>
      </c>
      <c r="Y137">
        <v>5</v>
      </c>
      <c r="Z137">
        <v>10</v>
      </c>
      <c r="AA137">
        <v>40</v>
      </c>
      <c r="AB137">
        <v>36</v>
      </c>
    </row>
    <row r="138" spans="1:28" x14ac:dyDescent="0.35">
      <c r="A138" t="s">
        <v>166</v>
      </c>
      <c r="B138" t="s">
        <v>167</v>
      </c>
      <c r="C138">
        <v>49</v>
      </c>
      <c r="D138" t="s">
        <v>41</v>
      </c>
      <c r="E138" t="s">
        <v>64</v>
      </c>
      <c r="F138" t="s">
        <v>83</v>
      </c>
      <c r="G138" s="1">
        <v>43079</v>
      </c>
      <c r="I138" s="9">
        <f ca="1">DATEDIF(G138,IF(H138="",TODAY(),H138),"Y")+DATEDIF(G138,IF(H138="",TODAY(),H138),"Ym")/12</f>
        <v>8.6666666666666661</v>
      </c>
      <c r="J138" s="7" cm="1">
        <f t="array" aca="1" ref="J138" ca="1">IF(ISNUMBER(I138), I138, DAY (I138) + HOUR (I138)/24)</f>
        <v>8.6666666666666661</v>
      </c>
      <c r="K138" t="str">
        <f ca="1">IF(I138&lt;1,"0-1 yr", IF(I138&lt;3,"0-3 Yrs", IF(I138&lt;5, "3-5 yrs","5+Yrs")))</f>
        <v>5+Yrs</v>
      </c>
      <c r="L138" t="str">
        <f ca="1">IF(M138&lt;&gt;"Left","",IF(Z138&gt;20,"Work-Life Balance",IF(OR(X138&lt;=2,Y138&lt;=2),"Work Culture",IF(Q138&lt;AVERAGEIFS($Q$2:$Q$201,$E$2:$E$201,E138),"Better Salary",IF(IFERROR(DATEDIF(V138,IF(H138="",TODAY(),H138),"y"),0)&gt;=3,"Career Growth","Better Opportunity")))))</f>
        <v/>
      </c>
      <c r="M138" t="s">
        <v>27</v>
      </c>
      <c r="N138" t="s">
        <v>28</v>
      </c>
      <c r="O138">
        <f t="shared" si="8"/>
        <v>12.95933</v>
      </c>
      <c r="P138" t="str">
        <f t="shared" si="9"/>
        <v>12L-15L</v>
      </c>
      <c r="Q138">
        <v>1295933</v>
      </c>
      <c r="R138">
        <v>3</v>
      </c>
      <c r="S138" t="s">
        <v>98</v>
      </c>
      <c r="T138" t="s">
        <v>37</v>
      </c>
      <c r="U138" t="s">
        <v>31</v>
      </c>
      <c r="W138">
        <v>8.7200000000000006</v>
      </c>
      <c r="X138">
        <v>5</v>
      </c>
      <c r="Y138">
        <v>4</v>
      </c>
      <c r="Z138">
        <v>5</v>
      </c>
      <c r="AA138">
        <v>55</v>
      </c>
      <c r="AB138">
        <v>5</v>
      </c>
    </row>
    <row r="139" spans="1:28" x14ac:dyDescent="0.35">
      <c r="A139" t="s">
        <v>383</v>
      </c>
      <c r="B139" t="s">
        <v>384</v>
      </c>
      <c r="C139">
        <v>48</v>
      </c>
      <c r="D139" t="s">
        <v>24</v>
      </c>
      <c r="E139" t="s">
        <v>64</v>
      </c>
      <c r="F139" t="s">
        <v>65</v>
      </c>
      <c r="G139" s="1">
        <v>45170</v>
      </c>
      <c r="I139" s="9">
        <f ca="1">DATEDIF(G139,IF(H139="",TODAY(),H139),"Y")+DATEDIF(G139,IF(H139="",TODAY(),H139),"Ym")/12</f>
        <v>3</v>
      </c>
      <c r="J139" s="7" cm="1">
        <f t="array" aca="1" ref="J139" ca="1">IF(ISNUMBER(I139), I139, DAY (I139) + HOUR (I139)/24)</f>
        <v>3</v>
      </c>
      <c r="K139" t="str">
        <f ca="1">IF(I139&lt;1,"0-1 yr", IF(I139&lt;3,"0-3 Yrs", IF(I139&lt;5, "3-5 yrs","5+Yrs")))</f>
        <v>3-5 yrs</v>
      </c>
      <c r="L139" t="str">
        <f ca="1">IF(M139&lt;&gt;"Left","",IF(Z139&gt;20,"Work-Life Balance",IF(OR(X139&lt;=2,Y139&lt;=2),"Work Culture",IF(Q139&lt;AVERAGEIFS($Q$2:$Q$201,$E$2:$E$201,E139),"Better Salary",IF(IFERROR(DATEDIF(V139,IF(H139="",TODAY(),H139),"y"),0)&gt;=3,"Career Growth","Better Opportunity")))))</f>
        <v/>
      </c>
      <c r="M139" t="s">
        <v>27</v>
      </c>
      <c r="N139" t="s">
        <v>28</v>
      </c>
      <c r="O139">
        <f t="shared" si="8"/>
        <v>12.960229999999999</v>
      </c>
      <c r="P139" t="str">
        <f t="shared" si="9"/>
        <v>12L-15L</v>
      </c>
      <c r="Q139">
        <v>1296023</v>
      </c>
      <c r="R139">
        <v>3</v>
      </c>
      <c r="S139" t="s">
        <v>52</v>
      </c>
      <c r="T139" t="s">
        <v>37</v>
      </c>
      <c r="U139" t="s">
        <v>122</v>
      </c>
      <c r="V139" s="1">
        <v>46063</v>
      </c>
      <c r="W139">
        <v>3</v>
      </c>
      <c r="X139">
        <v>3</v>
      </c>
      <c r="Y139">
        <v>2</v>
      </c>
      <c r="Z139">
        <v>4</v>
      </c>
      <c r="AA139">
        <v>42</v>
      </c>
      <c r="AB139">
        <v>20</v>
      </c>
    </row>
    <row r="140" spans="1:28" x14ac:dyDescent="0.35">
      <c r="A140" t="s">
        <v>127</v>
      </c>
      <c r="B140" t="s">
        <v>128</v>
      </c>
      <c r="C140">
        <v>39</v>
      </c>
      <c r="D140" t="s">
        <v>41</v>
      </c>
      <c r="E140" t="s">
        <v>64</v>
      </c>
      <c r="F140" t="s">
        <v>80</v>
      </c>
      <c r="G140" s="1">
        <v>42567</v>
      </c>
      <c r="H140" s="1">
        <v>43948</v>
      </c>
      <c r="I140" s="9">
        <f ca="1">DATEDIF(G140,IF(H140="",TODAY(),H140),"Y")+DATEDIF(G140,IF(H140="",TODAY(),H140),"Ym")/12</f>
        <v>3.75</v>
      </c>
      <c r="J140" s="7" cm="1">
        <f t="array" aca="1" ref="J140" ca="1">IF(ISNUMBER(I140), I140, DAY (I140) + HOUR (I140)/24)</f>
        <v>3.75</v>
      </c>
      <c r="K140" s="1" t="str">
        <f ca="1">IF(I140&lt;1,"0-1 yr", IF(I140&lt;3,"0-3 Yrs", IF(I140&lt;5, "3-5 yrs","5+Yrs")))</f>
        <v>3-5 yrs</v>
      </c>
      <c r="L140" t="str">
        <f ca="1">IF(M140&lt;&gt;"Left","",IF(Z140&gt;20,"Work-Life Balance",IF(OR(X140&lt;=2,Y140&lt;=2),"Work Culture",IF(Q140&lt;AVERAGEIFS($Q$2:$Q$201,$E$2:$E$201,E140),"Better Salary",IF(IFERROR(DATEDIF(V140,IF(H140="",TODAY(),H140),"y"),0)&gt;=3,"Career Growth","Better Opportunity")))))</f>
        <v>Work Culture</v>
      </c>
      <c r="M140" t="s">
        <v>69</v>
      </c>
      <c r="N140" t="s">
        <v>70</v>
      </c>
      <c r="O140">
        <f t="shared" si="8"/>
        <v>13.958769999999999</v>
      </c>
      <c r="P140" t="str">
        <f t="shared" si="9"/>
        <v>12L-15L</v>
      </c>
      <c r="Q140">
        <v>1395877</v>
      </c>
      <c r="R140">
        <v>3</v>
      </c>
      <c r="S140" t="s">
        <v>29</v>
      </c>
      <c r="T140" t="s">
        <v>43</v>
      </c>
      <c r="U140" t="s">
        <v>58</v>
      </c>
      <c r="V140" s="1">
        <v>45042</v>
      </c>
      <c r="W140">
        <v>3.78</v>
      </c>
      <c r="X140">
        <v>1</v>
      </c>
      <c r="Y140">
        <v>4</v>
      </c>
      <c r="Z140">
        <v>14</v>
      </c>
      <c r="AA140">
        <v>38</v>
      </c>
      <c r="AB140">
        <v>9</v>
      </c>
    </row>
    <row r="141" spans="1:28" x14ac:dyDescent="0.35">
      <c r="A141" t="s">
        <v>387</v>
      </c>
      <c r="B141" t="s">
        <v>388</v>
      </c>
      <c r="C141">
        <v>28</v>
      </c>
      <c r="D141" t="s">
        <v>24</v>
      </c>
      <c r="E141" t="s">
        <v>56</v>
      </c>
      <c r="F141" t="s">
        <v>157</v>
      </c>
      <c r="G141" s="1">
        <v>45191</v>
      </c>
      <c r="I141" s="9">
        <f ca="1">DATEDIF(G141,IF(H141="",TODAY(),H141),"Y")+DATEDIF(G141,IF(H141="",TODAY(),H141),"Ym")/12</f>
        <v>2.9166666666666665</v>
      </c>
      <c r="J141" s="7" cm="1">
        <f t="array" aca="1" ref="J141" ca="1">IF(ISNUMBER(I141), I141, DAY (I141) + HOUR (I141)/24)</f>
        <v>2.9166666666666665</v>
      </c>
      <c r="K141" t="str">
        <f ca="1">IF(I141&lt;1,"0-1 yr", IF(I141&lt;3,"0-3 Yrs", IF(I141&lt;5, "3-5 yrs","5+Yrs")))</f>
        <v>0-3 Yrs</v>
      </c>
      <c r="L141" t="str">
        <f ca="1">IF(M141&lt;&gt;"Left","",IF(Z141&gt;20,"Work-Life Balance",IF(OR(X141&lt;=2,Y141&lt;=2),"Work Culture",IF(Q141&lt;AVERAGEIFS($Q$2:$Q$201,$E$2:$E$201,E141),"Better Salary",IF(IFERROR(DATEDIF(V141,IF(H141="",TODAY(),H141),"y"),0)&gt;=3,"Career Growth","Better Opportunity")))))</f>
        <v/>
      </c>
      <c r="M141" t="s">
        <v>27</v>
      </c>
      <c r="N141" t="s">
        <v>28</v>
      </c>
      <c r="O141">
        <f t="shared" si="8"/>
        <v>14.7811</v>
      </c>
      <c r="P141" t="str">
        <f t="shared" si="9"/>
        <v>12L-15L</v>
      </c>
      <c r="Q141">
        <v>1478110</v>
      </c>
      <c r="R141">
        <v>3</v>
      </c>
      <c r="S141" t="s">
        <v>66</v>
      </c>
      <c r="T141" t="s">
        <v>37</v>
      </c>
      <c r="U141" t="s">
        <v>84</v>
      </c>
      <c r="V141" s="1">
        <v>45717</v>
      </c>
      <c r="W141">
        <v>2.94</v>
      </c>
      <c r="X141">
        <v>4</v>
      </c>
      <c r="Y141">
        <v>1</v>
      </c>
      <c r="Z141">
        <v>20</v>
      </c>
      <c r="AA141">
        <v>79</v>
      </c>
      <c r="AB141">
        <v>30</v>
      </c>
    </row>
    <row r="142" spans="1:28" x14ac:dyDescent="0.35">
      <c r="A142" t="s">
        <v>444</v>
      </c>
      <c r="B142" t="s">
        <v>340</v>
      </c>
      <c r="C142">
        <v>53</v>
      </c>
      <c r="D142" t="s">
        <v>24</v>
      </c>
      <c r="E142" t="s">
        <v>64</v>
      </c>
      <c r="F142" t="s">
        <v>80</v>
      </c>
      <c r="G142" s="1">
        <v>45713</v>
      </c>
      <c r="I142" s="9">
        <f ca="1">DATEDIF(G142,IF(H142="",TODAY(),H142),"Y")+DATEDIF(G142,IF(H142="",TODAY(),H142),"Ym")/12</f>
        <v>1.5</v>
      </c>
      <c r="J142" s="7" cm="1">
        <f t="array" aca="1" ref="J142" ca="1">IF(ISNUMBER(I142), I142, DAY (I142) + HOUR (I142)/24)</f>
        <v>1.5</v>
      </c>
      <c r="K142" t="str">
        <f ca="1">IF(I142&lt;1,"0-1 yr", IF(I142&lt;3,"0-3 Yrs", IF(I142&lt;5, "3-5 yrs","5+Yrs")))</f>
        <v>0-3 Yrs</v>
      </c>
      <c r="L142" t="str">
        <f ca="1">IF(M142&lt;&gt;"Left","",IF(Z142&gt;20,"Work-Life Balance",IF(OR(X142&lt;=2,Y142&lt;=2),"Work Culture",IF(Q142&lt;AVERAGEIFS($Q$2:$Q$201,$E$2:$E$201,E142),"Better Salary",IF(IFERROR(DATEDIF(V142,IF(H142="",TODAY(),H142),"y"),0)&gt;=3,"Career Growth","Better Opportunity")))))</f>
        <v/>
      </c>
      <c r="M142" t="s">
        <v>27</v>
      </c>
      <c r="N142" t="s">
        <v>28</v>
      </c>
      <c r="O142">
        <f t="shared" si="8"/>
        <v>14.856780000000001</v>
      </c>
      <c r="P142" t="str">
        <f t="shared" si="9"/>
        <v>12L-15L</v>
      </c>
      <c r="Q142">
        <v>1485678</v>
      </c>
      <c r="R142">
        <v>4</v>
      </c>
      <c r="S142" t="s">
        <v>29</v>
      </c>
      <c r="T142" t="s">
        <v>43</v>
      </c>
      <c r="U142" t="s">
        <v>122</v>
      </c>
      <c r="V142" s="1">
        <v>46246</v>
      </c>
      <c r="W142">
        <v>1.51</v>
      </c>
      <c r="X142">
        <v>1</v>
      </c>
      <c r="Y142">
        <v>4</v>
      </c>
      <c r="Z142">
        <v>5</v>
      </c>
      <c r="AA142">
        <v>28</v>
      </c>
      <c r="AB142">
        <v>29</v>
      </c>
    </row>
    <row r="143" spans="1:28" x14ac:dyDescent="0.35">
      <c r="A143" t="s">
        <v>271</v>
      </c>
      <c r="B143" t="s">
        <v>272</v>
      </c>
      <c r="C143">
        <v>38</v>
      </c>
      <c r="D143" t="s">
        <v>41</v>
      </c>
      <c r="E143" t="s">
        <v>56</v>
      </c>
      <c r="F143" t="s">
        <v>157</v>
      </c>
      <c r="G143" s="1">
        <v>44159</v>
      </c>
      <c r="I143" s="9">
        <f ca="1">DATEDIF(G143,IF(H143="",TODAY(),H143),"Y")+DATEDIF(G143,IF(H143="",TODAY(),H143),"Ym")/12</f>
        <v>5.75</v>
      </c>
      <c r="J143" s="7" cm="1">
        <f t="array" aca="1" ref="J143" ca="1">IF(ISNUMBER(I143), I143, DAY (I143) + HOUR (I143)/24)</f>
        <v>5.75</v>
      </c>
      <c r="K143" t="str">
        <f ca="1">IF(I143&lt;1,"0-1 yr", IF(I143&lt;3,"0-3 Yrs", IF(I143&lt;5, "3-5 yrs","5+Yrs")))</f>
        <v>5+Yrs</v>
      </c>
      <c r="L143" t="str">
        <f ca="1">IF(M143&lt;&gt;"Left","",IF(Z143&gt;20,"Work-Life Balance",IF(OR(X143&lt;=2,Y143&lt;=2),"Work Culture",IF(Q143&lt;AVERAGEIFS($Q$2:$Q$201,$E$2:$E$201,E143),"Better Salary",IF(IFERROR(DATEDIF(V143,IF(H143="",TODAY(),H143),"y"),0)&gt;=3,"Career Growth","Better Opportunity")))))</f>
        <v/>
      </c>
      <c r="M143" t="s">
        <v>27</v>
      </c>
      <c r="N143" t="s">
        <v>28</v>
      </c>
      <c r="O143">
        <f t="shared" si="8"/>
        <v>15.184559999999999</v>
      </c>
      <c r="P143" t="str">
        <f t="shared" si="9"/>
        <v>15L-20L</v>
      </c>
      <c r="Q143">
        <v>1518456</v>
      </c>
      <c r="R143">
        <v>1</v>
      </c>
      <c r="S143" t="s">
        <v>36</v>
      </c>
      <c r="T143" t="s">
        <v>30</v>
      </c>
      <c r="U143" t="s">
        <v>87</v>
      </c>
      <c r="V143" s="1">
        <v>46242</v>
      </c>
      <c r="W143">
        <v>5.76</v>
      </c>
      <c r="X143">
        <v>3</v>
      </c>
      <c r="Y143">
        <v>3</v>
      </c>
      <c r="Z143">
        <v>4</v>
      </c>
      <c r="AA143">
        <v>66</v>
      </c>
      <c r="AB143">
        <v>24</v>
      </c>
    </row>
    <row r="144" spans="1:28" x14ac:dyDescent="0.35">
      <c r="A144" t="s">
        <v>327</v>
      </c>
      <c r="B144" t="s">
        <v>328</v>
      </c>
      <c r="C144">
        <v>30</v>
      </c>
      <c r="D144" t="s">
        <v>24</v>
      </c>
      <c r="E144" t="s">
        <v>56</v>
      </c>
      <c r="F144" t="s">
        <v>61</v>
      </c>
      <c r="G144" s="1">
        <v>44716</v>
      </c>
      <c r="I144" s="9">
        <f ca="1">DATEDIF(G144,IF(H144="",TODAY(),H144),"Y")+DATEDIF(G144,IF(H144="",TODAY(),H144),"Ym")/12</f>
        <v>4.166666666666667</v>
      </c>
      <c r="J144" s="7" cm="1">
        <f t="array" aca="1" ref="J144" ca="1">IF(ISNUMBER(I144), I144, DAY (I144) + HOUR (I144)/24)</f>
        <v>4.166666666666667</v>
      </c>
      <c r="K144" t="str">
        <f ca="1">IF(I144&lt;1,"0-1 yr", IF(I144&lt;3,"0-3 Yrs", IF(I144&lt;5, "3-5 yrs","5+Yrs")))</f>
        <v>3-5 yrs</v>
      </c>
      <c r="L144" t="str">
        <f ca="1">IF(M144&lt;&gt;"Left","",IF(Z144&gt;20,"Work-Life Balance",IF(OR(X144&lt;=2,Y144&lt;=2),"Work Culture",IF(Q144&lt;AVERAGEIFS($Q$2:$Q$201,$E$2:$E$201,E144),"Better Salary",IF(IFERROR(DATEDIF(V144,IF(H144="",TODAY(),H144),"y"),0)&gt;=3,"Career Growth","Better Opportunity")))))</f>
        <v/>
      </c>
      <c r="M144" t="s">
        <v>27</v>
      </c>
      <c r="N144" t="s">
        <v>28</v>
      </c>
      <c r="O144">
        <f t="shared" si="8"/>
        <v>15.24906</v>
      </c>
      <c r="P144" t="str">
        <f t="shared" si="9"/>
        <v>15L-20L</v>
      </c>
      <c r="Q144">
        <v>1524906</v>
      </c>
      <c r="R144">
        <v>4</v>
      </c>
      <c r="S144" t="s">
        <v>48</v>
      </c>
      <c r="T144" t="s">
        <v>30</v>
      </c>
      <c r="U144" t="s">
        <v>31</v>
      </c>
      <c r="V144" s="1">
        <v>45457</v>
      </c>
      <c r="W144">
        <v>4.24</v>
      </c>
      <c r="X144">
        <v>1</v>
      </c>
      <c r="Y144">
        <v>3</v>
      </c>
      <c r="Z144">
        <v>19</v>
      </c>
      <c r="AA144">
        <v>20</v>
      </c>
      <c r="AB144">
        <v>6</v>
      </c>
    </row>
    <row r="145" spans="1:28" x14ac:dyDescent="0.35">
      <c r="A145" t="s">
        <v>381</v>
      </c>
      <c r="B145" t="s">
        <v>382</v>
      </c>
      <c r="C145">
        <v>38</v>
      </c>
      <c r="D145" t="s">
        <v>41</v>
      </c>
      <c r="E145" t="s">
        <v>25</v>
      </c>
      <c r="F145" t="s">
        <v>76</v>
      </c>
      <c r="G145" s="1">
        <v>45163</v>
      </c>
      <c r="I145" s="9">
        <f ca="1">DATEDIF(G145,IF(H145="",TODAY(),H145),"Y")+DATEDIF(G145,IF(H145="",TODAY(),H145),"Ym")/12</f>
        <v>3</v>
      </c>
      <c r="J145" s="7" cm="1">
        <f t="array" aca="1" ref="J145" ca="1">IF(ISNUMBER(I145), I145, DAY (I145) + HOUR (I145)/24)</f>
        <v>3</v>
      </c>
      <c r="K145" t="str">
        <f ca="1">IF(I145&lt;1,"0-1 yr", IF(I145&lt;3,"0-3 Yrs", IF(I145&lt;5, "3-5 yrs","5+Yrs")))</f>
        <v>3-5 yrs</v>
      </c>
      <c r="L145" t="str">
        <f ca="1">IF(M145&lt;&gt;"Left","",IF(Z145&gt;20,"Work-Life Balance",IF(OR(X145&lt;=2,Y145&lt;=2),"Work Culture",IF(Q145&lt;AVERAGEIFS($Q$2:$Q$201,$E$2:$E$201,E145),"Better Salary",IF(IFERROR(DATEDIF(V145,IF(H145="",TODAY(),H145),"y"),0)&gt;=3,"Career Growth","Better Opportunity")))))</f>
        <v/>
      </c>
      <c r="M145" t="s">
        <v>27</v>
      </c>
      <c r="N145" t="s">
        <v>28</v>
      </c>
      <c r="O145">
        <f t="shared" si="8"/>
        <v>15.71327</v>
      </c>
      <c r="P145" t="str">
        <f t="shared" si="9"/>
        <v>15L-20L</v>
      </c>
      <c r="Q145">
        <v>1571327</v>
      </c>
      <c r="R145">
        <v>3</v>
      </c>
      <c r="S145" t="s">
        <v>98</v>
      </c>
      <c r="T145" t="s">
        <v>43</v>
      </c>
      <c r="U145" t="s">
        <v>122</v>
      </c>
      <c r="W145">
        <v>3.01</v>
      </c>
      <c r="X145">
        <v>5</v>
      </c>
      <c r="Y145">
        <v>3</v>
      </c>
      <c r="Z145">
        <v>11</v>
      </c>
      <c r="AA145">
        <v>29</v>
      </c>
      <c r="AB145">
        <v>18</v>
      </c>
    </row>
    <row r="146" spans="1:28" x14ac:dyDescent="0.35">
      <c r="A146" t="s">
        <v>129</v>
      </c>
      <c r="B146" t="s">
        <v>130</v>
      </c>
      <c r="C146">
        <v>54</v>
      </c>
      <c r="D146" t="s">
        <v>24</v>
      </c>
      <c r="E146" t="s">
        <v>64</v>
      </c>
      <c r="F146" t="s">
        <v>80</v>
      </c>
      <c r="G146" s="1">
        <v>42578</v>
      </c>
      <c r="I146" s="9">
        <f ca="1">DATEDIF(G146,IF(H146="",TODAY(),H146),"Y")+DATEDIF(G146,IF(H146="",TODAY(),H146),"Ym")/12</f>
        <v>10.083333333333334</v>
      </c>
      <c r="J146" s="7" cm="1">
        <f t="array" aca="1" ref="J146" ca="1">IF(ISNUMBER(I146), I146, DAY (I146) + HOUR (I146)/24)</f>
        <v>10.083333333333334</v>
      </c>
      <c r="K146" t="str">
        <f ca="1">IF(I146&lt;1,"0-1 yr", IF(I146&lt;3,"0-3 Yrs", IF(I146&lt;5, "3-5 yrs","5+Yrs")))</f>
        <v>5+Yrs</v>
      </c>
      <c r="L146" t="str">
        <f ca="1">IF(M146&lt;&gt;"Left","",IF(Z146&gt;20,"Work-Life Balance",IF(OR(X146&lt;=2,Y146&lt;=2),"Work Culture",IF(Q146&lt;AVERAGEIFS($Q$2:$Q$201,$E$2:$E$201,E146),"Better Salary",IF(IFERROR(DATEDIF(V146,IF(H146="",TODAY(),H146),"y"),0)&gt;=3,"Career Growth","Better Opportunity")))))</f>
        <v/>
      </c>
      <c r="M146" t="s">
        <v>27</v>
      </c>
      <c r="N146" t="s">
        <v>28</v>
      </c>
      <c r="O146">
        <f t="shared" si="8"/>
        <v>15.78168</v>
      </c>
      <c r="P146" t="str">
        <f t="shared" si="9"/>
        <v>15L-20L</v>
      </c>
      <c r="Q146">
        <v>1578168</v>
      </c>
      <c r="R146">
        <v>3</v>
      </c>
      <c r="S146" t="s">
        <v>66</v>
      </c>
      <c r="T146" t="s">
        <v>37</v>
      </c>
      <c r="U146" t="s">
        <v>58</v>
      </c>
      <c r="W146">
        <v>10.09</v>
      </c>
      <c r="X146">
        <v>1</v>
      </c>
      <c r="Y146">
        <v>1</v>
      </c>
      <c r="Z146">
        <v>0</v>
      </c>
      <c r="AA146">
        <v>72</v>
      </c>
      <c r="AB146">
        <v>23</v>
      </c>
    </row>
    <row r="147" spans="1:28" x14ac:dyDescent="0.35">
      <c r="A147" t="s">
        <v>343</v>
      </c>
      <c r="B147" t="s">
        <v>344</v>
      </c>
      <c r="C147">
        <v>28</v>
      </c>
      <c r="D147" t="s">
        <v>24</v>
      </c>
      <c r="E147" t="s">
        <v>56</v>
      </c>
      <c r="F147" t="s">
        <v>61</v>
      </c>
      <c r="G147" s="1">
        <v>44878</v>
      </c>
      <c r="I147" s="9">
        <f ca="1">DATEDIF(G147,IF(H147="",TODAY(),H147),"Y")+DATEDIF(G147,IF(H147="",TODAY(),H147),"Ym")/12</f>
        <v>3.75</v>
      </c>
      <c r="J147" s="7" cm="1">
        <f t="array" aca="1" ref="J147" ca="1">IF(ISNUMBER(I147), I147, DAY (I147) + HOUR (I147)/24)</f>
        <v>3.75</v>
      </c>
      <c r="K147" t="str">
        <f ca="1">IF(I147&lt;1,"0-1 yr", IF(I147&lt;3,"0-3 Yrs", IF(I147&lt;5, "3-5 yrs","5+Yrs")))</f>
        <v>3-5 yrs</v>
      </c>
      <c r="L147" t="str">
        <f ca="1">IF(M147&lt;&gt;"Left","",IF(Z147&gt;20,"Work-Life Balance",IF(OR(X147&lt;=2,Y147&lt;=2),"Work Culture",IF(Q147&lt;AVERAGEIFS($Q$2:$Q$201,$E$2:$E$201,E147),"Better Salary",IF(IFERROR(DATEDIF(V147,IF(H147="",TODAY(),H147),"y"),0)&gt;=3,"Career Growth","Better Opportunity")))))</f>
        <v/>
      </c>
      <c r="M147" t="s">
        <v>27</v>
      </c>
      <c r="N147" t="s">
        <v>28</v>
      </c>
      <c r="O147">
        <f t="shared" si="8"/>
        <v>16.703990000000001</v>
      </c>
      <c r="P147" t="str">
        <f t="shared" si="9"/>
        <v>15L-20L</v>
      </c>
      <c r="Q147">
        <v>1670399</v>
      </c>
      <c r="R147">
        <v>3</v>
      </c>
      <c r="S147" t="s">
        <v>29</v>
      </c>
      <c r="T147" t="s">
        <v>43</v>
      </c>
      <c r="U147" t="s">
        <v>87</v>
      </c>
      <c r="W147">
        <v>3.79</v>
      </c>
      <c r="X147">
        <v>2</v>
      </c>
      <c r="Y147">
        <v>5</v>
      </c>
      <c r="Z147">
        <v>22</v>
      </c>
      <c r="AA147">
        <v>23</v>
      </c>
      <c r="AB147">
        <v>20</v>
      </c>
    </row>
    <row r="148" spans="1:28" x14ac:dyDescent="0.35">
      <c r="A148" t="s">
        <v>337</v>
      </c>
      <c r="B148" t="s">
        <v>338</v>
      </c>
      <c r="C148">
        <v>22</v>
      </c>
      <c r="D148" t="s">
        <v>24</v>
      </c>
      <c r="E148" t="s">
        <v>89</v>
      </c>
      <c r="F148" t="s">
        <v>121</v>
      </c>
      <c r="G148" s="1">
        <v>44812</v>
      </c>
      <c r="I148" s="9">
        <f ca="1">DATEDIF(G148,IF(H148="",TODAY(),H148),"Y")+DATEDIF(G148,IF(H148="",TODAY(),H148),"Ym")/12</f>
        <v>3.9166666666666665</v>
      </c>
      <c r="J148" s="7" cm="1">
        <f t="array" aca="1" ref="J148" ca="1">IF(ISNUMBER(I148), I148, DAY (I148) + HOUR (I148)/24)</f>
        <v>3.9166666666666665</v>
      </c>
      <c r="K148" t="str">
        <f ca="1">IF(I148&lt;1,"0-1 yr", IF(I148&lt;3,"0-3 Yrs", IF(I148&lt;5, "3-5 yrs","5+Yrs")))</f>
        <v>3-5 yrs</v>
      </c>
      <c r="L148" t="str">
        <f ca="1">IF(M148&lt;&gt;"Left","",IF(Z148&gt;20,"Work-Life Balance",IF(OR(X148&lt;=2,Y148&lt;=2),"Work Culture",IF(Q148&lt;AVERAGEIFS($Q$2:$Q$201,$E$2:$E$201,E148),"Better Salary",IF(IFERROR(DATEDIF(V148,IF(H148="",TODAY(),H148),"y"),0)&gt;=3,"Career Growth","Better Opportunity")))))</f>
        <v/>
      </c>
      <c r="M148" t="s">
        <v>27</v>
      </c>
      <c r="N148" t="s">
        <v>28</v>
      </c>
      <c r="O148">
        <f t="shared" si="8"/>
        <v>16.70504</v>
      </c>
      <c r="P148" t="str">
        <f t="shared" si="9"/>
        <v>15L-20L</v>
      </c>
      <c r="Q148">
        <v>1670504</v>
      </c>
      <c r="R148">
        <v>2</v>
      </c>
      <c r="S148" t="s">
        <v>36</v>
      </c>
      <c r="T148" t="s">
        <v>30</v>
      </c>
      <c r="U148" t="s">
        <v>106</v>
      </c>
      <c r="V148" s="1">
        <v>46121</v>
      </c>
      <c r="W148">
        <v>3.98</v>
      </c>
      <c r="X148">
        <v>4</v>
      </c>
      <c r="Y148">
        <v>3</v>
      </c>
      <c r="Z148">
        <v>13</v>
      </c>
      <c r="AA148">
        <v>40</v>
      </c>
      <c r="AB148">
        <v>24</v>
      </c>
    </row>
    <row r="149" spans="1:28" x14ac:dyDescent="0.35">
      <c r="A149" t="s">
        <v>385</v>
      </c>
      <c r="B149" t="s">
        <v>386</v>
      </c>
      <c r="C149">
        <v>56</v>
      </c>
      <c r="D149" t="s">
        <v>41</v>
      </c>
      <c r="E149" t="s">
        <v>56</v>
      </c>
      <c r="F149" t="s">
        <v>157</v>
      </c>
      <c r="G149" s="1">
        <v>45181</v>
      </c>
      <c r="I149" s="9">
        <f ca="1">DATEDIF(G149,IF(H149="",TODAY(),H149),"Y")+DATEDIF(G149,IF(H149="",TODAY(),H149),"Ym")/12</f>
        <v>2.9166666666666665</v>
      </c>
      <c r="J149" s="7" cm="1">
        <f t="array" aca="1" ref="J149" ca="1">IF(ISNUMBER(I149), I149, DAY (I149) + HOUR (I149)/24)</f>
        <v>2.9166666666666665</v>
      </c>
      <c r="K149" t="str">
        <f ca="1">IF(I149&lt;1,"0-1 yr", IF(I149&lt;3,"0-3 Yrs", IF(I149&lt;5, "3-5 yrs","5+Yrs")))</f>
        <v>0-3 Yrs</v>
      </c>
      <c r="L149" t="str">
        <f ca="1">IF(M149&lt;&gt;"Left","",IF(Z149&gt;20,"Work-Life Balance",IF(OR(X149&lt;=2,Y149&lt;=2),"Work Culture",IF(Q149&lt;AVERAGEIFS($Q$2:$Q$201,$E$2:$E$201,E149),"Better Salary",IF(IFERROR(DATEDIF(V149,IF(H149="",TODAY(),H149),"y"),0)&gt;=3,"Career Growth","Better Opportunity")))))</f>
        <v/>
      </c>
      <c r="M149" t="s">
        <v>27</v>
      </c>
      <c r="N149" t="s">
        <v>28</v>
      </c>
      <c r="O149">
        <f t="shared" si="8"/>
        <v>17.15972</v>
      </c>
      <c r="P149" t="str">
        <f t="shared" si="9"/>
        <v>15L-20L</v>
      </c>
      <c r="Q149">
        <v>1715972</v>
      </c>
      <c r="R149">
        <v>3</v>
      </c>
      <c r="S149" t="s">
        <v>98</v>
      </c>
      <c r="T149" t="s">
        <v>37</v>
      </c>
      <c r="U149" t="s">
        <v>31</v>
      </c>
      <c r="W149">
        <v>2.97</v>
      </c>
      <c r="X149">
        <v>2</v>
      </c>
      <c r="Y149">
        <v>5</v>
      </c>
      <c r="Z149">
        <v>13</v>
      </c>
      <c r="AA149">
        <v>36</v>
      </c>
      <c r="AB149">
        <v>44</v>
      </c>
    </row>
    <row r="150" spans="1:28" x14ac:dyDescent="0.35">
      <c r="A150" t="s">
        <v>133</v>
      </c>
      <c r="B150" t="s">
        <v>134</v>
      </c>
      <c r="C150">
        <v>42</v>
      </c>
      <c r="D150" t="s">
        <v>41</v>
      </c>
      <c r="E150" t="s">
        <v>64</v>
      </c>
      <c r="F150" t="s">
        <v>80</v>
      </c>
      <c r="G150" s="1">
        <v>42648</v>
      </c>
      <c r="H150" s="1">
        <v>43958</v>
      </c>
      <c r="I150" s="9">
        <f ca="1">DATEDIF(G150,IF(H150="",TODAY(),H150),"Y")+DATEDIF(G150,IF(H150="",TODAY(),H150),"Ym")/12</f>
        <v>3.5833333333333335</v>
      </c>
      <c r="J150" s="7" cm="1">
        <f t="array" aca="1" ref="J150" ca="1">IF(ISNUMBER(I150), I150, DAY (I150) + HOUR (I150)/24)</f>
        <v>3.5833333333333335</v>
      </c>
      <c r="K150" s="1" t="str">
        <f ca="1">IF(I150&lt;1,"0-1 yr", IF(I150&lt;3,"0-3 Yrs", IF(I150&lt;5, "3-5 yrs","5+Yrs")))</f>
        <v>3-5 yrs</v>
      </c>
      <c r="L150" t="str">
        <f ca="1">IF(M150&lt;&gt;"Left","",IF(Z150&gt;20,"Work-Life Balance",IF(OR(X150&lt;=2,Y150&lt;=2),"Work Culture",IF(Q150&lt;AVERAGEIFS($Q$2:$Q$201,$E$2:$E$201,E150),"Better Salary",IF(IFERROR(DATEDIF(V150,IF(H150="",TODAY(),H150),"y"),0)&gt;=3,"Career Growth","Better Opportunity")))))</f>
        <v>Work Culture</v>
      </c>
      <c r="M150" t="s">
        <v>69</v>
      </c>
      <c r="N150" t="s">
        <v>70</v>
      </c>
      <c r="O150">
        <f t="shared" si="8"/>
        <v>17.254059999999999</v>
      </c>
      <c r="P150" t="str">
        <f t="shared" si="9"/>
        <v>15L-20L</v>
      </c>
      <c r="Q150">
        <v>1725406</v>
      </c>
      <c r="R150">
        <v>2</v>
      </c>
      <c r="S150" t="s">
        <v>52</v>
      </c>
      <c r="T150" t="s">
        <v>30</v>
      </c>
      <c r="U150" t="s">
        <v>58</v>
      </c>
      <c r="V150" s="1">
        <v>44793</v>
      </c>
      <c r="W150">
        <v>3.59</v>
      </c>
      <c r="X150">
        <v>2</v>
      </c>
      <c r="Y150">
        <v>3</v>
      </c>
      <c r="Z150">
        <v>2</v>
      </c>
      <c r="AA150">
        <v>22</v>
      </c>
      <c r="AB150">
        <v>26</v>
      </c>
    </row>
    <row r="151" spans="1:28" x14ac:dyDescent="0.35">
      <c r="A151" t="s">
        <v>253</v>
      </c>
      <c r="B151" t="s">
        <v>254</v>
      </c>
      <c r="C151">
        <v>50</v>
      </c>
      <c r="D151" t="s">
        <v>24</v>
      </c>
      <c r="E151" t="s">
        <v>89</v>
      </c>
      <c r="F151" t="s">
        <v>121</v>
      </c>
      <c r="G151" s="1">
        <v>43850</v>
      </c>
      <c r="I151" s="9">
        <f ca="1">DATEDIF(G151,IF(H151="",TODAY(),H151),"Y")+DATEDIF(G151,IF(H151="",TODAY(),H151),"Ym")/12</f>
        <v>6.583333333333333</v>
      </c>
      <c r="J151" s="7" cm="1">
        <f t="array" aca="1" ref="J151" ca="1">IF(ISNUMBER(I151), I151, DAY (I151) + HOUR (I151)/24)</f>
        <v>6.583333333333333</v>
      </c>
      <c r="K151" t="str">
        <f ca="1">IF(I151&lt;1,"0-1 yr", IF(I151&lt;3,"0-3 Yrs", IF(I151&lt;5, "3-5 yrs","5+Yrs")))</f>
        <v>5+Yrs</v>
      </c>
      <c r="L151" t="str">
        <f ca="1">IF(M151&lt;&gt;"Left","",IF(Z151&gt;20,"Work-Life Balance",IF(OR(X151&lt;=2,Y151&lt;=2),"Work Culture",IF(Q151&lt;AVERAGEIFS($Q$2:$Q$201,$E$2:$E$201,E151),"Better Salary",IF(IFERROR(DATEDIF(V151,IF(H151="",TODAY(),H151),"y"),0)&gt;=3,"Career Growth","Better Opportunity")))))</f>
        <v/>
      </c>
      <c r="M151" t="s">
        <v>27</v>
      </c>
      <c r="N151" t="s">
        <v>28</v>
      </c>
      <c r="O151">
        <f t="shared" si="8"/>
        <v>17.41001</v>
      </c>
      <c r="P151" t="str">
        <f t="shared" si="9"/>
        <v>15L-20L</v>
      </c>
      <c r="Q151">
        <v>1741001</v>
      </c>
      <c r="R151">
        <v>3</v>
      </c>
      <c r="S151" t="s">
        <v>73</v>
      </c>
      <c r="T151" t="s">
        <v>37</v>
      </c>
      <c r="U151" t="s">
        <v>58</v>
      </c>
      <c r="V151" s="1">
        <v>45906</v>
      </c>
      <c r="W151">
        <v>6.61</v>
      </c>
      <c r="X151">
        <v>5</v>
      </c>
      <c r="Y151">
        <v>1</v>
      </c>
      <c r="Z151">
        <v>2</v>
      </c>
      <c r="AA151">
        <v>64</v>
      </c>
      <c r="AB151">
        <v>34</v>
      </c>
    </row>
    <row r="152" spans="1:28" x14ac:dyDescent="0.35">
      <c r="A152" t="s">
        <v>269</v>
      </c>
      <c r="B152" t="s">
        <v>270</v>
      </c>
      <c r="C152">
        <v>43</v>
      </c>
      <c r="D152" t="s">
        <v>24</v>
      </c>
      <c r="E152" t="s">
        <v>56</v>
      </c>
      <c r="F152" t="s">
        <v>61</v>
      </c>
      <c r="G152" s="1">
        <v>44096</v>
      </c>
      <c r="I152" s="9">
        <f ca="1">DATEDIF(G152,IF(H152="",TODAY(),H152),"Y")+DATEDIF(G152,IF(H152="",TODAY(),H152),"Ym")/12</f>
        <v>5.916666666666667</v>
      </c>
      <c r="J152" s="7" cm="1">
        <f t="array" aca="1" ref="J152" ca="1">IF(ISNUMBER(I152), I152, DAY (I152) + HOUR (I152)/24)</f>
        <v>5.916666666666667</v>
      </c>
      <c r="K152" t="str">
        <f ca="1">IF(I152&lt;1,"0-1 yr", IF(I152&lt;3,"0-3 Yrs", IF(I152&lt;5, "3-5 yrs","5+Yrs")))</f>
        <v>5+Yrs</v>
      </c>
      <c r="L152" t="str">
        <f ca="1">IF(M152&lt;&gt;"Left","",IF(Z152&gt;20,"Work-Life Balance",IF(OR(X152&lt;=2,Y152&lt;=2),"Work Culture",IF(Q152&lt;AVERAGEIFS($Q$2:$Q$201,$E$2:$E$201,E152),"Better Salary",IF(IFERROR(DATEDIF(V152,IF(H152="",TODAY(),H152),"y"),0)&gt;=3,"Career Growth","Better Opportunity")))))</f>
        <v/>
      </c>
      <c r="M152" t="s">
        <v>27</v>
      </c>
      <c r="N152" t="s">
        <v>28</v>
      </c>
      <c r="O152">
        <f t="shared" si="8"/>
        <v>17.429179999999999</v>
      </c>
      <c r="P152" t="str">
        <f t="shared" si="9"/>
        <v>15L-20L</v>
      </c>
      <c r="Q152">
        <v>1742918</v>
      </c>
      <c r="R152">
        <v>3</v>
      </c>
      <c r="S152" t="s">
        <v>52</v>
      </c>
      <c r="T152" t="s">
        <v>30</v>
      </c>
      <c r="U152" t="s">
        <v>31</v>
      </c>
      <c r="V152" s="1">
        <v>44848</v>
      </c>
      <c r="W152">
        <v>5.94</v>
      </c>
      <c r="X152">
        <v>4</v>
      </c>
      <c r="Y152">
        <v>5</v>
      </c>
      <c r="Z152">
        <v>19</v>
      </c>
      <c r="AA152">
        <v>53</v>
      </c>
      <c r="AB152">
        <v>21</v>
      </c>
    </row>
    <row r="153" spans="1:28" x14ac:dyDescent="0.35">
      <c r="A153" t="s">
        <v>320</v>
      </c>
      <c r="B153" t="s">
        <v>321</v>
      </c>
      <c r="C153">
        <v>45</v>
      </c>
      <c r="D153" t="s">
        <v>24</v>
      </c>
      <c r="E153" t="s">
        <v>56</v>
      </c>
      <c r="F153" t="s">
        <v>61</v>
      </c>
      <c r="G153" s="1">
        <v>44657</v>
      </c>
      <c r="H153" s="1">
        <v>45787</v>
      </c>
      <c r="I153" s="9">
        <f ca="1">DATEDIF(G153,IF(H153="",TODAY(),H153),"Y")+DATEDIF(G153,IF(H153="",TODAY(),H153),"Ym")/12</f>
        <v>3.0833333333333335</v>
      </c>
      <c r="J153" s="7" cm="1">
        <f t="array" aca="1" ref="J153" ca="1">IF(ISNUMBER(I153), I153, DAY (I153) + HOUR (I153)/24)</f>
        <v>3.0833333333333335</v>
      </c>
      <c r="K153" s="1" t="str">
        <f ca="1">IF(I153&lt;1,"0-1 yr", IF(I153&lt;3,"0-3 Yrs", IF(I153&lt;5, "3-5 yrs","5+Yrs")))</f>
        <v>3-5 yrs</v>
      </c>
      <c r="L153" t="str">
        <f ca="1">IF(M153&lt;&gt;"Left","",IF(Z153&gt;20,"Work-Life Balance",IF(OR(X153&lt;=2,Y153&lt;=2),"Work Culture",IF(Q153&lt;AVERAGEIFS($Q$2:$Q$201,$E$2:$E$201,E153),"Better Salary",IF(IFERROR(DATEDIF(V153,IF(H153="",TODAY(),H153),"y"),0)&gt;=3,"Career Growth","Better Opportunity")))))</f>
        <v>Work Culture</v>
      </c>
      <c r="M153" t="s">
        <v>69</v>
      </c>
      <c r="N153" t="s">
        <v>70</v>
      </c>
      <c r="O153">
        <f t="shared" si="8"/>
        <v>17.524339999999999</v>
      </c>
      <c r="P153" t="str">
        <f t="shared" si="9"/>
        <v>15L-20L</v>
      </c>
      <c r="Q153">
        <v>1752434</v>
      </c>
      <c r="R153">
        <v>5</v>
      </c>
      <c r="S153" t="s">
        <v>48</v>
      </c>
      <c r="T153" t="s">
        <v>43</v>
      </c>
      <c r="U153" t="s">
        <v>58</v>
      </c>
      <c r="V153" s="1">
        <v>45793</v>
      </c>
      <c r="W153">
        <v>3.09</v>
      </c>
      <c r="X153">
        <v>1</v>
      </c>
      <c r="Y153">
        <v>3</v>
      </c>
      <c r="Z153">
        <v>16</v>
      </c>
      <c r="AA153">
        <v>36</v>
      </c>
      <c r="AB153">
        <v>28</v>
      </c>
    </row>
    <row r="154" spans="1:28" x14ac:dyDescent="0.35">
      <c r="A154" t="s">
        <v>74</v>
      </c>
      <c r="B154" t="s">
        <v>75</v>
      </c>
      <c r="C154">
        <v>53</v>
      </c>
      <c r="D154" t="s">
        <v>41</v>
      </c>
      <c r="E154" t="s">
        <v>25</v>
      </c>
      <c r="F154" t="s">
        <v>76</v>
      </c>
      <c r="G154" s="1">
        <v>42161</v>
      </c>
      <c r="H154" s="1">
        <v>43230</v>
      </c>
      <c r="I154" s="9">
        <f ca="1">DATEDIF(G154,IF(H154="",TODAY(),H154),"Y")+DATEDIF(G154,IF(H154="",TODAY(),H154),"Ym")/12</f>
        <v>2.9166666666666665</v>
      </c>
      <c r="J154" s="7" cm="1">
        <f t="array" aca="1" ref="J154" ca="1">IF(ISNUMBER(I154), I154, DAY (I154) + HOUR (I154)/24)</f>
        <v>2.9166666666666665</v>
      </c>
      <c r="K154" s="1" t="str">
        <f ca="1">IF(I154&lt;1,"0-1 yr", IF(I154&lt;3,"0-3 Yrs", IF(I154&lt;5, "3-5 yrs","5+Yrs")))</f>
        <v>0-3 Yrs</v>
      </c>
      <c r="L154" t="str">
        <f ca="1">IF(M154&lt;&gt;"Left","",IF(Z154&gt;20,"Work-Life Balance",IF(OR(X154&lt;=2,Y154&lt;=2),"Work Culture",IF(Q154&lt;AVERAGEIFS($Q$2:$Q$201,$E$2:$E$201,E154),"Better Salary",IF(IFERROR(DATEDIF(V154,IF(H154="",TODAY(),H154),"y"),0)&gt;=3,"Career Growth","Better Opportunity")))))</f>
        <v>Work Culture</v>
      </c>
      <c r="M154" t="s">
        <v>69</v>
      </c>
      <c r="N154" t="s">
        <v>70</v>
      </c>
      <c r="O154">
        <f t="shared" si="8"/>
        <v>17.581939999999999</v>
      </c>
      <c r="P154" t="str">
        <f t="shared" si="9"/>
        <v>15L-20L</v>
      </c>
      <c r="Q154">
        <v>1758194</v>
      </c>
      <c r="R154">
        <v>3</v>
      </c>
      <c r="S154" t="s">
        <v>77</v>
      </c>
      <c r="T154" t="s">
        <v>37</v>
      </c>
      <c r="U154" t="s">
        <v>44</v>
      </c>
      <c r="W154">
        <v>2.93</v>
      </c>
      <c r="X154">
        <v>1</v>
      </c>
      <c r="Y154">
        <v>4</v>
      </c>
      <c r="Z154">
        <v>16</v>
      </c>
      <c r="AA154">
        <v>62</v>
      </c>
      <c r="AB154">
        <v>13</v>
      </c>
    </row>
    <row r="155" spans="1:28" x14ac:dyDescent="0.35">
      <c r="A155" t="s">
        <v>446</v>
      </c>
      <c r="B155" t="s">
        <v>447</v>
      </c>
      <c r="C155">
        <v>27</v>
      </c>
      <c r="D155" t="s">
        <v>41</v>
      </c>
      <c r="E155" t="s">
        <v>56</v>
      </c>
      <c r="F155" t="s">
        <v>157</v>
      </c>
      <c r="G155" s="1">
        <v>45750</v>
      </c>
      <c r="H155" s="1">
        <v>46090</v>
      </c>
      <c r="I155" s="9">
        <f ca="1">DATEDIF(G155,IF(H155="",TODAY(),H155),"Y")+DATEDIF(G155,IF(H155="",TODAY(),H155),"Ym")/12</f>
        <v>0.91666666666666663</v>
      </c>
      <c r="J155" s="7" cm="1">
        <f t="array" aca="1" ref="J155" ca="1">IF(ISNUMBER(I155), I155, DAY (I155) + HOUR (I155)/24)</f>
        <v>0.91666666666666663</v>
      </c>
      <c r="K155" s="1" t="str">
        <f ca="1">IF(I155&lt;1,"0-1 yr", IF(I155&lt;3,"0-3 Yrs", IF(I155&lt;5, "3-5 yrs","5+Yrs")))</f>
        <v>0-1 yr</v>
      </c>
      <c r="L155" t="str">
        <f ca="1">IF(M155&lt;&gt;"Left","",IF(Z155&gt;20,"Work-Life Balance",IF(OR(X155&lt;=2,Y155&lt;=2),"Work Culture",IF(Q155&lt;AVERAGEIFS($Q$2:$Q$201,$E$2:$E$201,E155),"Better Salary",IF(IFERROR(DATEDIF(V155,IF(H155="",TODAY(),H155),"y"),0)&gt;=3,"Career Growth","Better Opportunity")))))</f>
        <v>Better Opportunity</v>
      </c>
      <c r="M155" t="s">
        <v>69</v>
      </c>
      <c r="N155" t="s">
        <v>70</v>
      </c>
      <c r="O155">
        <f t="shared" si="8"/>
        <v>17.634160000000001</v>
      </c>
      <c r="P155" t="str">
        <f t="shared" si="9"/>
        <v>15L-20L</v>
      </c>
      <c r="Q155">
        <v>1763416</v>
      </c>
      <c r="R155">
        <v>3</v>
      </c>
      <c r="S155" t="s">
        <v>36</v>
      </c>
      <c r="T155" t="s">
        <v>30</v>
      </c>
      <c r="U155" t="s">
        <v>84</v>
      </c>
      <c r="V155" s="1">
        <v>46106</v>
      </c>
      <c r="W155">
        <v>0.93</v>
      </c>
      <c r="X155">
        <v>5</v>
      </c>
      <c r="Y155">
        <v>5</v>
      </c>
      <c r="Z155">
        <v>9</v>
      </c>
      <c r="AA155">
        <v>68</v>
      </c>
      <c r="AB155">
        <v>16</v>
      </c>
    </row>
    <row r="156" spans="1:28" x14ac:dyDescent="0.35">
      <c r="A156" t="s">
        <v>243</v>
      </c>
      <c r="B156" t="s">
        <v>244</v>
      </c>
      <c r="C156">
        <v>55</v>
      </c>
      <c r="D156" t="s">
        <v>41</v>
      </c>
      <c r="E156" t="s">
        <v>25</v>
      </c>
      <c r="F156" t="s">
        <v>76</v>
      </c>
      <c r="G156" s="1">
        <v>43782</v>
      </c>
      <c r="I156" s="9">
        <f ca="1">DATEDIF(G156,IF(H156="",TODAY(),H156),"Y")+DATEDIF(G156,IF(H156="",TODAY(),H156),"Ym")/12</f>
        <v>6.75</v>
      </c>
      <c r="J156" s="7" cm="1">
        <f t="array" aca="1" ref="J156" ca="1">IF(ISNUMBER(I156), I156, DAY (I156) + HOUR (I156)/24)</f>
        <v>6.75</v>
      </c>
      <c r="K156" t="str">
        <f ca="1">IF(I156&lt;1,"0-1 yr", IF(I156&lt;3,"0-3 Yrs", IF(I156&lt;5, "3-5 yrs","5+Yrs")))</f>
        <v>5+Yrs</v>
      </c>
      <c r="L156" t="str">
        <f ca="1">IF(M156&lt;&gt;"Left","",IF(Z156&gt;20,"Work-Life Balance",IF(OR(X156&lt;=2,Y156&lt;=2),"Work Culture",IF(Q156&lt;AVERAGEIFS($Q$2:$Q$201,$E$2:$E$201,E156),"Better Salary",IF(IFERROR(DATEDIF(V156,IF(H156="",TODAY(),H156),"y"),0)&gt;=3,"Career Growth","Better Opportunity")))))</f>
        <v/>
      </c>
      <c r="M156" t="s">
        <v>27</v>
      </c>
      <c r="N156" t="s">
        <v>28</v>
      </c>
      <c r="O156">
        <f t="shared" si="8"/>
        <v>17.952970000000001</v>
      </c>
      <c r="P156" t="str">
        <f t="shared" si="9"/>
        <v>15L-20L</v>
      </c>
      <c r="Q156">
        <v>1795297</v>
      </c>
      <c r="R156">
        <v>4</v>
      </c>
      <c r="S156" t="s">
        <v>48</v>
      </c>
      <c r="T156" t="s">
        <v>43</v>
      </c>
      <c r="U156" t="s">
        <v>106</v>
      </c>
      <c r="W156">
        <v>6.8</v>
      </c>
      <c r="X156">
        <v>3</v>
      </c>
      <c r="Y156">
        <v>1</v>
      </c>
      <c r="Z156">
        <v>21</v>
      </c>
      <c r="AA156">
        <v>52</v>
      </c>
      <c r="AB156">
        <v>26</v>
      </c>
    </row>
    <row r="157" spans="1:28" x14ac:dyDescent="0.35">
      <c r="A157" t="s">
        <v>78</v>
      </c>
      <c r="B157" t="s">
        <v>79</v>
      </c>
      <c r="C157">
        <v>26</v>
      </c>
      <c r="D157" t="s">
        <v>41</v>
      </c>
      <c r="E157" t="s">
        <v>64</v>
      </c>
      <c r="F157" t="s">
        <v>80</v>
      </c>
      <c r="G157" s="1">
        <v>42212</v>
      </c>
      <c r="I157" s="9">
        <f ca="1">DATEDIF(G157,IF(H157="",TODAY(),H157),"Y")+DATEDIF(G157,IF(H157="",TODAY(),H157),"Ym")/12</f>
        <v>11.083333333333334</v>
      </c>
      <c r="J157" s="7" cm="1">
        <f t="array" aca="1" ref="J157" ca="1">IF(ISNUMBER(I157), I157, DAY (I157) + HOUR (I157)/24)</f>
        <v>11.083333333333334</v>
      </c>
      <c r="K157" t="str">
        <f ca="1">IF(I157&lt;1,"0-1 yr", IF(I157&lt;3,"0-3 Yrs", IF(I157&lt;5, "3-5 yrs","5+Yrs")))</f>
        <v>5+Yrs</v>
      </c>
      <c r="L157" t="str">
        <f ca="1">IF(M157&lt;&gt;"Left","",IF(Z157&gt;20,"Work-Life Balance",IF(OR(X157&lt;=2,Y157&lt;=2),"Work Culture",IF(Q157&lt;AVERAGEIFS($Q$2:$Q$201,$E$2:$E$201,E157),"Better Salary",IF(IFERROR(DATEDIF(V157,IF(H157="",TODAY(),H157),"y"),0)&gt;=3,"Career Growth","Better Opportunity")))))</f>
        <v/>
      </c>
      <c r="M157" t="s">
        <v>27</v>
      </c>
      <c r="N157" t="s">
        <v>28</v>
      </c>
      <c r="O157">
        <f t="shared" si="8"/>
        <v>18.03003</v>
      </c>
      <c r="P157" t="str">
        <f t="shared" si="9"/>
        <v>15L-20L</v>
      </c>
      <c r="Q157">
        <v>1803003</v>
      </c>
      <c r="R157">
        <v>3</v>
      </c>
      <c r="S157" t="s">
        <v>52</v>
      </c>
      <c r="T157" t="s">
        <v>30</v>
      </c>
      <c r="U157" t="s">
        <v>44</v>
      </c>
      <c r="W157">
        <v>11.09</v>
      </c>
      <c r="X157">
        <v>1</v>
      </c>
      <c r="Y157">
        <v>1</v>
      </c>
      <c r="Z157">
        <v>21</v>
      </c>
      <c r="AA157">
        <v>25</v>
      </c>
      <c r="AB157">
        <v>7</v>
      </c>
    </row>
    <row r="158" spans="1:28" x14ac:dyDescent="0.35">
      <c r="A158" t="s">
        <v>216</v>
      </c>
      <c r="B158" t="s">
        <v>217</v>
      </c>
      <c r="C158">
        <v>22</v>
      </c>
      <c r="D158" t="s">
        <v>41</v>
      </c>
      <c r="E158" t="s">
        <v>56</v>
      </c>
      <c r="F158" t="s">
        <v>61</v>
      </c>
      <c r="G158" s="1">
        <v>43540</v>
      </c>
      <c r="I158" s="9">
        <f ca="1">DATEDIF(G158,IF(H158="",TODAY(),H158),"Y")+DATEDIF(G158,IF(H158="",TODAY(),H158),"Ym")/12</f>
        <v>7.416666666666667</v>
      </c>
      <c r="J158" s="7" cm="1">
        <f t="array" aca="1" ref="J158" ca="1">IF(ISNUMBER(I158), I158, DAY (I158) + HOUR (I158)/24)</f>
        <v>7.416666666666667</v>
      </c>
      <c r="K158" t="str">
        <f ca="1">IF(I158&lt;1,"0-1 yr", IF(I158&lt;3,"0-3 Yrs", IF(I158&lt;5, "3-5 yrs","5+Yrs")))</f>
        <v>5+Yrs</v>
      </c>
      <c r="L158" t="str">
        <f ca="1">IF(M158&lt;&gt;"Left","",IF(Z158&gt;20,"Work-Life Balance",IF(OR(X158&lt;=2,Y158&lt;=2),"Work Culture",IF(Q158&lt;AVERAGEIFS($Q$2:$Q$201,$E$2:$E$201,E158),"Better Salary",IF(IFERROR(DATEDIF(V158,IF(H158="",TODAY(),H158),"y"),0)&gt;=3,"Career Growth","Better Opportunity")))))</f>
        <v/>
      </c>
      <c r="M158" t="s">
        <v>27</v>
      </c>
      <c r="N158" t="s">
        <v>28</v>
      </c>
      <c r="O158">
        <f t="shared" si="8"/>
        <v>18.09938</v>
      </c>
      <c r="P158" t="str">
        <f t="shared" si="9"/>
        <v>15L-20L</v>
      </c>
      <c r="Q158">
        <v>1809938</v>
      </c>
      <c r="R158">
        <v>3</v>
      </c>
      <c r="S158" t="s">
        <v>36</v>
      </c>
      <c r="T158" t="s">
        <v>43</v>
      </c>
      <c r="U158" t="s">
        <v>38</v>
      </c>
      <c r="V158" s="1">
        <v>44577</v>
      </c>
      <c r="W158">
        <v>7.46</v>
      </c>
      <c r="X158">
        <v>5</v>
      </c>
      <c r="Y158">
        <v>4</v>
      </c>
      <c r="Z158">
        <v>4</v>
      </c>
      <c r="AA158">
        <v>26</v>
      </c>
      <c r="AB158">
        <v>30</v>
      </c>
    </row>
    <row r="159" spans="1:28" x14ac:dyDescent="0.35">
      <c r="A159" t="s">
        <v>279</v>
      </c>
      <c r="B159" t="s">
        <v>280</v>
      </c>
      <c r="C159">
        <v>25</v>
      </c>
      <c r="D159" t="s">
        <v>24</v>
      </c>
      <c r="E159" t="s">
        <v>64</v>
      </c>
      <c r="F159" t="s">
        <v>80</v>
      </c>
      <c r="G159" s="1">
        <v>44214</v>
      </c>
      <c r="I159" s="9">
        <f ca="1">DATEDIF(G159,IF(H159="",TODAY(),H159),"Y")+DATEDIF(G159,IF(H159="",TODAY(),H159),"Ym")/12</f>
        <v>5.583333333333333</v>
      </c>
      <c r="J159" s="7" cm="1">
        <f t="array" aca="1" ref="J159" ca="1">IF(ISNUMBER(I159), I159, DAY (I159) + HOUR (I159)/24)</f>
        <v>5.583333333333333</v>
      </c>
      <c r="K159" t="str">
        <f ca="1">IF(I159&lt;1,"0-1 yr", IF(I159&lt;3,"0-3 Yrs", IF(I159&lt;5, "3-5 yrs","5+Yrs")))</f>
        <v>5+Yrs</v>
      </c>
      <c r="L159" t="str">
        <f ca="1">IF(M159&lt;&gt;"Left","",IF(Z159&gt;20,"Work-Life Balance",IF(OR(X159&lt;=2,Y159&lt;=2),"Work Culture",IF(Q159&lt;AVERAGEIFS($Q$2:$Q$201,$E$2:$E$201,E159),"Better Salary",IF(IFERROR(DATEDIF(V159,IF(H159="",TODAY(),H159),"y"),0)&gt;=3,"Career Growth","Better Opportunity")))))</f>
        <v/>
      </c>
      <c r="M159" t="s">
        <v>27</v>
      </c>
      <c r="N159" t="s">
        <v>28</v>
      </c>
      <c r="O159">
        <f t="shared" si="8"/>
        <v>18.133579999999998</v>
      </c>
      <c r="P159" t="str">
        <f t="shared" si="9"/>
        <v>15L-20L</v>
      </c>
      <c r="Q159">
        <v>1813358</v>
      </c>
      <c r="R159">
        <v>5</v>
      </c>
      <c r="S159" t="s">
        <v>98</v>
      </c>
      <c r="T159" t="s">
        <v>43</v>
      </c>
      <c r="U159" t="s">
        <v>58</v>
      </c>
      <c r="W159">
        <v>5.61</v>
      </c>
      <c r="X159">
        <v>1</v>
      </c>
      <c r="Y159">
        <v>3</v>
      </c>
      <c r="Z159">
        <v>21</v>
      </c>
      <c r="AA159">
        <v>8</v>
      </c>
      <c r="AB159">
        <v>30</v>
      </c>
    </row>
    <row r="160" spans="1:28" x14ac:dyDescent="0.35">
      <c r="A160" t="s">
        <v>389</v>
      </c>
      <c r="B160" t="s">
        <v>390</v>
      </c>
      <c r="C160">
        <v>24</v>
      </c>
      <c r="D160" t="s">
        <v>24</v>
      </c>
      <c r="E160" t="s">
        <v>64</v>
      </c>
      <c r="F160" t="s">
        <v>80</v>
      </c>
      <c r="G160" s="1">
        <v>45230</v>
      </c>
      <c r="I160" s="9">
        <f ca="1">DATEDIF(G160,IF(H160="",TODAY(),H160),"Y")+DATEDIF(G160,IF(H160="",TODAY(),H160),"Ym")/12</f>
        <v>2.8333333333333335</v>
      </c>
      <c r="J160" s="7" cm="1">
        <f t="array" aca="1" ref="J160" ca="1">IF(ISNUMBER(I160), I160, DAY (I160) + HOUR (I160)/24)</f>
        <v>2.8333333333333335</v>
      </c>
      <c r="K160" t="str">
        <f ca="1">IF(I160&lt;1,"0-1 yr", IF(I160&lt;3,"0-3 Yrs", IF(I160&lt;5, "3-5 yrs","5+Yrs")))</f>
        <v>0-3 Yrs</v>
      </c>
      <c r="L160" t="str">
        <f ca="1">IF(M160&lt;&gt;"Left","",IF(Z160&gt;20,"Work-Life Balance",IF(OR(X160&lt;=2,Y160&lt;=2),"Work Culture",IF(Q160&lt;AVERAGEIFS($Q$2:$Q$201,$E$2:$E$201,E160),"Better Salary",IF(IFERROR(DATEDIF(V160,IF(H160="",TODAY(),H160),"y"),0)&gt;=3,"Career Growth","Better Opportunity")))))</f>
        <v/>
      </c>
      <c r="M160" t="s">
        <v>27</v>
      </c>
      <c r="N160" t="s">
        <v>28</v>
      </c>
      <c r="O160">
        <f t="shared" si="8"/>
        <v>18.250889999999998</v>
      </c>
      <c r="P160" t="str">
        <f t="shared" si="9"/>
        <v>15L-20L</v>
      </c>
      <c r="Q160">
        <v>1825089</v>
      </c>
      <c r="R160">
        <v>3</v>
      </c>
      <c r="S160" t="s">
        <v>29</v>
      </c>
      <c r="T160" t="s">
        <v>43</v>
      </c>
      <c r="U160" t="s">
        <v>87</v>
      </c>
      <c r="V160" s="1">
        <v>46011</v>
      </c>
      <c r="W160">
        <v>2.83</v>
      </c>
      <c r="X160">
        <v>3</v>
      </c>
      <c r="Y160">
        <v>3</v>
      </c>
      <c r="Z160">
        <v>7</v>
      </c>
      <c r="AA160">
        <v>31</v>
      </c>
      <c r="AB160">
        <v>10</v>
      </c>
    </row>
    <row r="161" spans="1:28" x14ac:dyDescent="0.35">
      <c r="A161" t="s">
        <v>391</v>
      </c>
      <c r="B161" t="s">
        <v>392</v>
      </c>
      <c r="C161">
        <v>33</v>
      </c>
      <c r="D161" t="s">
        <v>24</v>
      </c>
      <c r="E161" t="s">
        <v>89</v>
      </c>
      <c r="F161" t="s">
        <v>121</v>
      </c>
      <c r="G161" s="1">
        <v>45233</v>
      </c>
      <c r="I161" s="9">
        <f ca="1">DATEDIF(G161,IF(H161="",TODAY(),H161),"Y")+DATEDIF(G161,IF(H161="",TODAY(),H161),"Ym")/12</f>
        <v>2.8333333333333335</v>
      </c>
      <c r="J161" s="7" cm="1">
        <f t="array" aca="1" ref="J161" ca="1">IF(ISNUMBER(I161), I161, DAY (I161) + HOUR (I161)/24)</f>
        <v>2.8333333333333335</v>
      </c>
      <c r="K161" t="str">
        <f ca="1">IF(I161&lt;1,"0-1 yr", IF(I161&lt;3,"0-3 Yrs", IF(I161&lt;5, "3-5 yrs","5+Yrs")))</f>
        <v>0-3 Yrs</v>
      </c>
      <c r="L161" t="str">
        <f ca="1">IF(M161&lt;&gt;"Left","",IF(Z161&gt;20,"Work-Life Balance",IF(OR(X161&lt;=2,Y161&lt;=2),"Work Culture",IF(Q161&lt;AVERAGEIFS($Q$2:$Q$201,$E$2:$E$201,E161),"Better Salary",IF(IFERROR(DATEDIF(V161,IF(H161="",TODAY(),H161),"y"),0)&gt;=3,"Career Growth","Better Opportunity")))))</f>
        <v/>
      </c>
      <c r="M161" t="s">
        <v>27</v>
      </c>
      <c r="N161" t="s">
        <v>28</v>
      </c>
      <c r="O161">
        <f t="shared" si="8"/>
        <v>18.40794</v>
      </c>
      <c r="P161" t="str">
        <f t="shared" si="9"/>
        <v>15L-20L</v>
      </c>
      <c r="Q161">
        <v>1840794</v>
      </c>
      <c r="R161">
        <v>4</v>
      </c>
      <c r="S161" t="s">
        <v>52</v>
      </c>
      <c r="T161" t="s">
        <v>30</v>
      </c>
      <c r="U161" t="s">
        <v>38</v>
      </c>
      <c r="V161" s="1">
        <v>45634</v>
      </c>
      <c r="W161">
        <v>2.82</v>
      </c>
      <c r="X161">
        <v>2</v>
      </c>
      <c r="Y161">
        <v>4</v>
      </c>
      <c r="Z161">
        <v>4</v>
      </c>
      <c r="AA161">
        <v>42</v>
      </c>
      <c r="AB161">
        <v>31</v>
      </c>
    </row>
    <row r="162" spans="1:28" x14ac:dyDescent="0.35">
      <c r="A162" t="s">
        <v>131</v>
      </c>
      <c r="B162" t="s">
        <v>132</v>
      </c>
      <c r="C162">
        <v>40</v>
      </c>
      <c r="D162" t="s">
        <v>24</v>
      </c>
      <c r="E162" t="s">
        <v>25</v>
      </c>
      <c r="F162" t="s">
        <v>76</v>
      </c>
      <c r="G162" s="1">
        <v>42636</v>
      </c>
      <c r="H162" s="1">
        <v>44095</v>
      </c>
      <c r="I162" s="9">
        <f ca="1">DATEDIF(G162,IF(H162="",TODAY(),H162),"Y")+DATEDIF(G162,IF(H162="",TODAY(),H162),"Ym")/12</f>
        <v>3.9166666666666665</v>
      </c>
      <c r="J162" s="7" cm="1">
        <f t="array" aca="1" ref="J162" ca="1">IF(ISNUMBER(I162), I162, DAY (I162) + HOUR (I162)/24)</f>
        <v>3.9166666666666665</v>
      </c>
      <c r="K162" s="1" t="str">
        <f ca="1">IF(I162&lt;1,"0-1 yr", IF(I162&lt;3,"0-3 Yrs", IF(I162&lt;5, "3-5 yrs","5+Yrs")))</f>
        <v>3-5 yrs</v>
      </c>
      <c r="L162" t="str">
        <f ca="1">IF(M162&lt;&gt;"Left","",IF(Z162&gt;20,"Work-Life Balance",IF(OR(X162&lt;=2,Y162&lt;=2),"Work Culture",IF(Q162&lt;AVERAGEIFS($Q$2:$Q$201,$E$2:$E$201,E162),"Better Salary",IF(IFERROR(DATEDIF(V162,IF(H162="",TODAY(),H162),"y"),0)&gt;=3,"Career Growth","Better Opportunity")))))</f>
        <v>Work Culture</v>
      </c>
      <c r="M162" t="s">
        <v>69</v>
      </c>
      <c r="N162" t="s">
        <v>70</v>
      </c>
      <c r="O162">
        <f t="shared" ref="O162:O193" si="10">Q162*1/100000</f>
        <v>18.485510000000001</v>
      </c>
      <c r="P162" t="str">
        <f t="shared" ref="P162:P193" si="11">IF(Q162*1&lt;600000,"3L-6L",IF(Q162*1&lt;800000,"6L-8L",IF(Q162*1&lt;1000000,"8L-10L",IF(Q162*1&lt;1200000,"10L-12L",IF(Q162*1&lt;1500000,"12L-15L",IF(Q162*1&lt;2000000,"15L-20L","20L-30L"))))))</f>
        <v>15L-20L</v>
      </c>
      <c r="Q162">
        <v>1848551</v>
      </c>
      <c r="R162">
        <v>4</v>
      </c>
      <c r="S162" t="s">
        <v>66</v>
      </c>
      <c r="T162" t="s">
        <v>43</v>
      </c>
      <c r="U162" t="s">
        <v>122</v>
      </c>
      <c r="V162" s="1">
        <v>44728</v>
      </c>
      <c r="W162">
        <v>3.99</v>
      </c>
      <c r="X162">
        <v>2</v>
      </c>
      <c r="Y162">
        <v>4</v>
      </c>
      <c r="Z162">
        <v>8</v>
      </c>
      <c r="AA162">
        <v>53</v>
      </c>
      <c r="AB162">
        <v>15</v>
      </c>
    </row>
    <row r="163" spans="1:28" x14ac:dyDescent="0.35">
      <c r="A163" t="s">
        <v>155</v>
      </c>
      <c r="B163" t="s">
        <v>156</v>
      </c>
      <c r="C163">
        <v>32</v>
      </c>
      <c r="D163" t="s">
        <v>24</v>
      </c>
      <c r="E163" t="s">
        <v>56</v>
      </c>
      <c r="F163" t="s">
        <v>157</v>
      </c>
      <c r="G163" s="1">
        <v>42964</v>
      </c>
      <c r="I163" s="9">
        <f ca="1">DATEDIF(G163,IF(H163="",TODAY(),H163),"Y")+DATEDIF(G163,IF(H163="",TODAY(),H163),"Ym")/12</f>
        <v>9</v>
      </c>
      <c r="J163" s="7" cm="1">
        <f t="array" aca="1" ref="J163" ca="1">IF(ISNUMBER(I163), I163, DAY (I163) + HOUR (I163)/24)</f>
        <v>9</v>
      </c>
      <c r="K163" t="str">
        <f ca="1">IF(I163&lt;1,"0-1 yr", IF(I163&lt;3,"0-3 Yrs", IF(I163&lt;5, "3-5 yrs","5+Yrs")))</f>
        <v>5+Yrs</v>
      </c>
      <c r="L163" t="str">
        <f ca="1">IF(M163&lt;&gt;"Left","",IF(Z163&gt;20,"Work-Life Balance",IF(OR(X163&lt;=2,Y163&lt;=2),"Work Culture",IF(Q163&lt;AVERAGEIFS($Q$2:$Q$201,$E$2:$E$201,E163),"Better Salary",IF(IFERROR(DATEDIF(V163,IF(H163="",TODAY(),H163),"y"),0)&gt;=3,"Career Growth","Better Opportunity")))))</f>
        <v/>
      </c>
      <c r="M163" t="s">
        <v>27</v>
      </c>
      <c r="N163" t="s">
        <v>28</v>
      </c>
      <c r="O163">
        <f t="shared" si="10"/>
        <v>18.577310000000001</v>
      </c>
      <c r="P163" t="str">
        <f t="shared" si="11"/>
        <v>15L-20L</v>
      </c>
      <c r="Q163">
        <v>1857731</v>
      </c>
      <c r="R163">
        <v>4</v>
      </c>
      <c r="S163" t="s">
        <v>36</v>
      </c>
      <c r="T163" t="s">
        <v>37</v>
      </c>
      <c r="U163" t="s">
        <v>84</v>
      </c>
      <c r="W163">
        <v>9.0299999999999994</v>
      </c>
      <c r="X163">
        <v>2</v>
      </c>
      <c r="Y163">
        <v>5</v>
      </c>
      <c r="Z163">
        <v>2</v>
      </c>
      <c r="AA163">
        <v>5</v>
      </c>
      <c r="AB163">
        <v>41</v>
      </c>
    </row>
    <row r="164" spans="1:28" x14ac:dyDescent="0.35">
      <c r="A164" t="s">
        <v>59</v>
      </c>
      <c r="B164" t="s">
        <v>60</v>
      </c>
      <c r="C164">
        <v>52</v>
      </c>
      <c r="D164" t="s">
        <v>41</v>
      </c>
      <c r="E164" t="s">
        <v>56</v>
      </c>
      <c r="F164" t="s">
        <v>61</v>
      </c>
      <c r="G164" s="1">
        <v>42075</v>
      </c>
      <c r="I164" s="9">
        <f ca="1">DATEDIF(G164,IF(H164="",TODAY(),H164),"Y")+DATEDIF(G164,IF(H164="",TODAY(),H164),"Ym")/12</f>
        <v>11.416666666666666</v>
      </c>
      <c r="J164" s="7" cm="1">
        <f t="array" aca="1" ref="J164" ca="1">IF(ISNUMBER(I164), I164, DAY (I164) + HOUR (I164)/24)</f>
        <v>11.416666666666666</v>
      </c>
      <c r="K164" t="str">
        <f ca="1">IF(I164&lt;1,"0-1 yr", IF(I164&lt;3,"0-3 Yrs", IF(I164&lt;5, "3-5 yrs","5+Yrs")))</f>
        <v>5+Yrs</v>
      </c>
      <c r="L164" t="str">
        <f ca="1">IF(M164&lt;&gt;"Left","",IF(Z164&gt;20,"Work-Life Balance",IF(OR(X164&lt;=2,Y164&lt;=2),"Work Culture",IF(Q164&lt;AVERAGEIFS($Q$2:$Q$201,$E$2:$E$201,E164),"Better Salary",IF(IFERROR(DATEDIF(V164,IF(H164="",TODAY(),H164),"y"),0)&gt;=3,"Career Growth","Better Opportunity")))))</f>
        <v/>
      </c>
      <c r="M164" t="s">
        <v>27</v>
      </c>
      <c r="N164" t="s">
        <v>28</v>
      </c>
      <c r="O164">
        <f t="shared" si="10"/>
        <v>18.578469999999999</v>
      </c>
      <c r="P164" t="str">
        <f t="shared" si="11"/>
        <v>15L-20L</v>
      </c>
      <c r="Q164">
        <v>1857847</v>
      </c>
      <c r="R164">
        <v>4</v>
      </c>
      <c r="S164" t="s">
        <v>36</v>
      </c>
      <c r="T164" t="s">
        <v>30</v>
      </c>
      <c r="U164" t="s">
        <v>38</v>
      </c>
      <c r="V164" s="1">
        <v>46224</v>
      </c>
      <c r="W164">
        <v>11.47</v>
      </c>
      <c r="X164">
        <v>5</v>
      </c>
      <c r="Y164">
        <v>2</v>
      </c>
      <c r="Z164">
        <v>23</v>
      </c>
      <c r="AA164">
        <v>19</v>
      </c>
      <c r="AB164">
        <v>30</v>
      </c>
    </row>
    <row r="165" spans="1:28" x14ac:dyDescent="0.35">
      <c r="A165" t="s">
        <v>294</v>
      </c>
      <c r="B165" t="s">
        <v>295</v>
      </c>
      <c r="C165">
        <v>35</v>
      </c>
      <c r="D165" t="s">
        <v>41</v>
      </c>
      <c r="E165" t="s">
        <v>89</v>
      </c>
      <c r="F165" t="s">
        <v>121</v>
      </c>
      <c r="G165" s="1">
        <v>44395</v>
      </c>
      <c r="I165" s="9">
        <f ca="1">DATEDIF(G165,IF(H165="",TODAY(),H165),"Y")+DATEDIF(G165,IF(H165="",TODAY(),H165),"Ym")/12</f>
        <v>5.083333333333333</v>
      </c>
      <c r="J165" s="7" cm="1">
        <f t="array" aca="1" ref="J165" ca="1">IF(ISNUMBER(I165), I165, DAY (I165) + HOUR (I165)/24)</f>
        <v>5.083333333333333</v>
      </c>
      <c r="K165" t="str">
        <f ca="1">IF(I165&lt;1,"0-1 yr", IF(I165&lt;3,"0-3 Yrs", IF(I165&lt;5, "3-5 yrs","5+Yrs")))</f>
        <v>5+Yrs</v>
      </c>
      <c r="L165" t="str">
        <f ca="1">IF(M165&lt;&gt;"Left","",IF(Z165&gt;20,"Work-Life Balance",IF(OR(X165&lt;=2,Y165&lt;=2),"Work Culture",IF(Q165&lt;AVERAGEIFS($Q$2:$Q$201,$E$2:$E$201,E165),"Better Salary",IF(IFERROR(DATEDIF(V165,IF(H165="",TODAY(),H165),"y"),0)&gt;=3,"Career Growth","Better Opportunity")))))</f>
        <v/>
      </c>
      <c r="M165" t="s">
        <v>27</v>
      </c>
      <c r="N165" t="s">
        <v>28</v>
      </c>
      <c r="O165">
        <f t="shared" si="10"/>
        <v>18.846150000000002</v>
      </c>
      <c r="P165" t="str">
        <f t="shared" si="11"/>
        <v>15L-20L</v>
      </c>
      <c r="Q165">
        <v>1884615</v>
      </c>
      <c r="R165">
        <v>3</v>
      </c>
      <c r="S165" t="s">
        <v>77</v>
      </c>
      <c r="T165" t="s">
        <v>43</v>
      </c>
      <c r="U165" t="s">
        <v>53</v>
      </c>
      <c r="W165">
        <v>5.12</v>
      </c>
      <c r="X165">
        <v>1</v>
      </c>
      <c r="Y165">
        <v>5</v>
      </c>
      <c r="Z165">
        <v>22</v>
      </c>
      <c r="AA165">
        <v>6</v>
      </c>
      <c r="AB165">
        <v>27</v>
      </c>
    </row>
    <row r="166" spans="1:28" x14ac:dyDescent="0.35">
      <c r="A166" t="s">
        <v>310</v>
      </c>
      <c r="B166" t="s">
        <v>311</v>
      </c>
      <c r="C166">
        <v>54</v>
      </c>
      <c r="D166" t="s">
        <v>24</v>
      </c>
      <c r="E166" t="s">
        <v>64</v>
      </c>
      <c r="F166" t="s">
        <v>80</v>
      </c>
      <c r="G166" s="1">
        <v>44578</v>
      </c>
      <c r="H166" s="1">
        <v>44838</v>
      </c>
      <c r="I166" s="9">
        <f ca="1">DATEDIF(G166,IF(H166="",TODAY(),H166),"Y")+DATEDIF(G166,IF(H166="",TODAY(),H166),"Ym")/12</f>
        <v>0.66666666666666663</v>
      </c>
      <c r="J166" s="7" cm="1">
        <f t="array" aca="1" ref="J166" ca="1">IF(ISNUMBER(I166), I166, DAY (I166) + HOUR (I166)/24)</f>
        <v>0.66666666666666663</v>
      </c>
      <c r="K166" s="1" t="str">
        <f ca="1">IF(I166&lt;1,"0-1 yr", IF(I166&lt;3,"0-3 Yrs", IF(I166&lt;5, "3-5 yrs","5+Yrs")))</f>
        <v>0-1 yr</v>
      </c>
      <c r="L166" t="str">
        <f ca="1">IF(M166&lt;&gt;"Left","",IF(Z166&gt;20,"Work-Life Balance",IF(OR(X166&lt;=2,Y166&lt;=2),"Work Culture",IF(Q166&lt;AVERAGEIFS($Q$2:$Q$201,$E$2:$E$201,E166),"Better Salary",IF(IFERROR(DATEDIF(V166,IF(H166="",TODAY(),H166),"y"),0)&gt;=3,"Career Growth","Better Opportunity")))))</f>
        <v>Better Opportunity</v>
      </c>
      <c r="M166" t="s">
        <v>69</v>
      </c>
      <c r="N166" t="s">
        <v>70</v>
      </c>
      <c r="O166">
        <f t="shared" si="10"/>
        <v>18.868120000000001</v>
      </c>
      <c r="P166" t="str">
        <f t="shared" si="11"/>
        <v>15L-20L</v>
      </c>
      <c r="Q166">
        <v>1886812</v>
      </c>
      <c r="R166">
        <v>3</v>
      </c>
      <c r="S166" t="s">
        <v>98</v>
      </c>
      <c r="T166" t="s">
        <v>43</v>
      </c>
      <c r="U166" t="s">
        <v>38</v>
      </c>
      <c r="V166" s="1">
        <v>46064</v>
      </c>
      <c r="W166">
        <v>0.71</v>
      </c>
      <c r="X166">
        <v>3</v>
      </c>
      <c r="Y166">
        <v>3</v>
      </c>
      <c r="Z166">
        <v>4</v>
      </c>
      <c r="AA166">
        <v>27</v>
      </c>
      <c r="AB166">
        <v>11</v>
      </c>
    </row>
    <row r="167" spans="1:28" x14ac:dyDescent="0.35">
      <c r="A167" t="s">
        <v>146</v>
      </c>
      <c r="B167" t="s">
        <v>147</v>
      </c>
      <c r="C167">
        <v>47</v>
      </c>
      <c r="D167" t="s">
        <v>24</v>
      </c>
      <c r="E167" t="s">
        <v>64</v>
      </c>
      <c r="F167" t="s">
        <v>80</v>
      </c>
      <c r="G167" s="1">
        <v>42882</v>
      </c>
      <c r="I167" s="9">
        <f ca="1">DATEDIF(G167,IF(H167="",TODAY(),H167),"Y")+DATEDIF(G167,IF(H167="",TODAY(),H167),"Ym")/12</f>
        <v>9.25</v>
      </c>
      <c r="J167" s="7" cm="1">
        <f t="array" aca="1" ref="J167" ca="1">IF(ISNUMBER(I167), I167, DAY (I167) + HOUR (I167)/24)</f>
        <v>9.25</v>
      </c>
      <c r="K167" t="str">
        <f ca="1">IF(I167&lt;1,"0-1 yr", IF(I167&lt;3,"0-3 Yrs", IF(I167&lt;5, "3-5 yrs","5+Yrs")))</f>
        <v>5+Yrs</v>
      </c>
      <c r="L167" t="str">
        <f ca="1">IF(M167&lt;&gt;"Left","",IF(Z167&gt;20,"Work-Life Balance",IF(OR(X167&lt;=2,Y167&lt;=2),"Work Culture",IF(Q167&lt;AVERAGEIFS($Q$2:$Q$201,$E$2:$E$201,E167),"Better Salary",IF(IFERROR(DATEDIF(V167,IF(H167="",TODAY(),H167),"y"),0)&gt;=3,"Career Growth","Better Opportunity")))))</f>
        <v/>
      </c>
      <c r="M167" t="s">
        <v>27</v>
      </c>
      <c r="N167" t="s">
        <v>28</v>
      </c>
      <c r="O167">
        <f t="shared" si="10"/>
        <v>19.074249999999999</v>
      </c>
      <c r="P167" t="str">
        <f t="shared" si="11"/>
        <v>15L-20L</v>
      </c>
      <c r="Q167">
        <v>1907425</v>
      </c>
      <c r="R167">
        <v>4</v>
      </c>
      <c r="S167" t="s">
        <v>52</v>
      </c>
      <c r="T167" t="s">
        <v>43</v>
      </c>
      <c r="U167" t="s">
        <v>87</v>
      </c>
      <c r="W167">
        <v>9.26</v>
      </c>
      <c r="X167">
        <v>4</v>
      </c>
      <c r="Y167">
        <v>2</v>
      </c>
      <c r="Z167">
        <v>12</v>
      </c>
      <c r="AA167">
        <v>45</v>
      </c>
      <c r="AB167">
        <v>30</v>
      </c>
    </row>
    <row r="168" spans="1:28" x14ac:dyDescent="0.35">
      <c r="A168" t="s">
        <v>214</v>
      </c>
      <c r="B168" t="s">
        <v>215</v>
      </c>
      <c r="C168">
        <v>24</v>
      </c>
      <c r="D168" t="s">
        <v>41</v>
      </c>
      <c r="E168" t="s">
        <v>89</v>
      </c>
      <c r="F168" t="s">
        <v>121</v>
      </c>
      <c r="G168" s="1">
        <v>43532</v>
      </c>
      <c r="I168" s="9">
        <f ca="1">DATEDIF(G168,IF(H168="",TODAY(),H168),"Y")+DATEDIF(G168,IF(H168="",TODAY(),H168),"Ym")/12</f>
        <v>7.416666666666667</v>
      </c>
      <c r="J168" s="7" cm="1">
        <f t="array" aca="1" ref="J168" ca="1">IF(ISNUMBER(I168), I168, DAY (I168) + HOUR (I168)/24)</f>
        <v>7.416666666666667</v>
      </c>
      <c r="K168" t="str">
        <f ca="1">IF(I168&lt;1,"0-1 yr", IF(I168&lt;3,"0-3 Yrs", IF(I168&lt;5, "3-5 yrs","5+Yrs")))</f>
        <v>5+Yrs</v>
      </c>
      <c r="L168" t="str">
        <f ca="1">IF(M168&lt;&gt;"Left","",IF(Z168&gt;20,"Work-Life Balance",IF(OR(X168&lt;=2,Y168&lt;=2),"Work Culture",IF(Q168&lt;AVERAGEIFS($Q$2:$Q$201,$E$2:$E$201,E168),"Better Salary",IF(IFERROR(DATEDIF(V168,IF(H168="",TODAY(),H168),"y"),0)&gt;=3,"Career Growth","Better Opportunity")))))</f>
        <v/>
      </c>
      <c r="M168" t="s">
        <v>27</v>
      </c>
      <c r="N168" t="s">
        <v>28</v>
      </c>
      <c r="O168">
        <f t="shared" si="10"/>
        <v>19.850950000000001</v>
      </c>
      <c r="P168" t="str">
        <f t="shared" si="11"/>
        <v>15L-20L</v>
      </c>
      <c r="Q168">
        <v>1985095</v>
      </c>
      <c r="R168">
        <v>3</v>
      </c>
      <c r="S168" t="s">
        <v>66</v>
      </c>
      <c r="T168" t="s">
        <v>30</v>
      </c>
      <c r="U168" t="s">
        <v>38</v>
      </c>
      <c r="W168">
        <v>7.48</v>
      </c>
      <c r="X168">
        <v>3</v>
      </c>
      <c r="Y168">
        <v>1</v>
      </c>
      <c r="Z168">
        <v>19</v>
      </c>
      <c r="AA168">
        <v>76</v>
      </c>
      <c r="AB168">
        <v>42</v>
      </c>
    </row>
    <row r="169" spans="1:28" x14ac:dyDescent="0.35">
      <c r="A169" t="s">
        <v>293</v>
      </c>
      <c r="B169" t="s">
        <v>140</v>
      </c>
      <c r="C169">
        <v>46</v>
      </c>
      <c r="D169" t="s">
        <v>24</v>
      </c>
      <c r="E169" t="s">
        <v>56</v>
      </c>
      <c r="F169" t="s">
        <v>157</v>
      </c>
      <c r="G169" s="1">
        <v>44382</v>
      </c>
      <c r="I169" s="9">
        <f ca="1">DATEDIF(G169,IF(H169="",TODAY(),H169),"Y")+DATEDIF(G169,IF(H169="",TODAY(),H169),"Ym")/12</f>
        <v>5.083333333333333</v>
      </c>
      <c r="J169" s="7" cm="1">
        <f t="array" aca="1" ref="J169" ca="1">IF(ISNUMBER(I169), I169, DAY (I169) + HOUR (I169)/24)</f>
        <v>5.083333333333333</v>
      </c>
      <c r="K169" t="str">
        <f ca="1">IF(I169&lt;1,"0-1 yr", IF(I169&lt;3,"0-3 Yrs", IF(I169&lt;5, "3-5 yrs","5+Yrs")))</f>
        <v>5+Yrs</v>
      </c>
      <c r="L169" t="str">
        <f ca="1">IF(M169&lt;&gt;"Left","",IF(Z169&gt;20,"Work-Life Balance",IF(OR(X169&lt;=2,Y169&lt;=2),"Work Culture",IF(Q169&lt;AVERAGEIFS($Q$2:$Q$201,$E$2:$E$201,E169),"Better Salary",IF(IFERROR(DATEDIF(V169,IF(H169="",TODAY(),H169),"y"),0)&gt;=3,"Career Growth","Better Opportunity")))))</f>
        <v/>
      </c>
      <c r="M169" t="s">
        <v>27</v>
      </c>
      <c r="N169" t="s">
        <v>28</v>
      </c>
      <c r="O169">
        <f t="shared" si="10"/>
        <v>20.511510000000001</v>
      </c>
      <c r="P169" t="str">
        <f t="shared" si="11"/>
        <v>20L-30L</v>
      </c>
      <c r="Q169">
        <v>2051151</v>
      </c>
      <c r="R169">
        <v>4</v>
      </c>
      <c r="S169" t="s">
        <v>52</v>
      </c>
      <c r="T169" t="s">
        <v>37</v>
      </c>
      <c r="U169" t="s">
        <v>53</v>
      </c>
      <c r="W169">
        <v>5.15</v>
      </c>
      <c r="X169">
        <v>3</v>
      </c>
      <c r="Y169">
        <v>5</v>
      </c>
      <c r="Z169">
        <v>3</v>
      </c>
      <c r="AA169">
        <v>74</v>
      </c>
      <c r="AB169">
        <v>32</v>
      </c>
    </row>
    <row r="170" spans="1:28" x14ac:dyDescent="0.35">
      <c r="A170" t="s">
        <v>107</v>
      </c>
      <c r="B170" t="s">
        <v>108</v>
      </c>
      <c r="C170">
        <v>25</v>
      </c>
      <c r="D170" t="s">
        <v>24</v>
      </c>
      <c r="E170" t="s">
        <v>25</v>
      </c>
      <c r="F170" t="s">
        <v>76</v>
      </c>
      <c r="G170" s="1">
        <v>42425</v>
      </c>
      <c r="I170" s="9">
        <f ca="1">DATEDIF(G170,IF(H170="",TODAY(),H170),"Y")+DATEDIF(G170,IF(H170="",TODAY(),H170),"Ym")/12</f>
        <v>10.5</v>
      </c>
      <c r="J170" s="7" cm="1">
        <f t="array" aca="1" ref="J170" ca="1">IF(ISNUMBER(I170), I170, DAY (I170) + HOUR (I170)/24)</f>
        <v>10.5</v>
      </c>
      <c r="K170" t="str">
        <f ca="1">IF(I170&lt;1,"0-1 yr", IF(I170&lt;3,"0-3 Yrs", IF(I170&lt;5, "3-5 yrs","5+Yrs")))</f>
        <v>5+Yrs</v>
      </c>
      <c r="L170" t="str">
        <f ca="1">IF(M170&lt;&gt;"Left","",IF(Z170&gt;20,"Work-Life Balance",IF(OR(X170&lt;=2,Y170&lt;=2),"Work Culture",IF(Q170&lt;AVERAGEIFS($Q$2:$Q$201,$E$2:$E$201,E170),"Better Salary",IF(IFERROR(DATEDIF(V170,IF(H170="",TODAY(),H170),"y"),0)&gt;=3,"Career Growth","Better Opportunity")))))</f>
        <v/>
      </c>
      <c r="M170" t="s">
        <v>27</v>
      </c>
      <c r="N170" t="s">
        <v>28</v>
      </c>
      <c r="O170">
        <f t="shared" si="10"/>
        <v>20.84469</v>
      </c>
      <c r="P170" t="str">
        <f t="shared" si="11"/>
        <v>20L-30L</v>
      </c>
      <c r="Q170">
        <v>2084469</v>
      </c>
      <c r="R170">
        <v>3</v>
      </c>
      <c r="S170" t="s">
        <v>98</v>
      </c>
      <c r="T170" t="s">
        <v>43</v>
      </c>
      <c r="U170" t="s">
        <v>58</v>
      </c>
      <c r="V170" s="1">
        <v>44529</v>
      </c>
      <c r="W170">
        <v>10.51</v>
      </c>
      <c r="X170">
        <v>3</v>
      </c>
      <c r="Y170">
        <v>4</v>
      </c>
      <c r="Z170">
        <v>11</v>
      </c>
      <c r="AA170">
        <v>34</v>
      </c>
      <c r="AB170">
        <v>30</v>
      </c>
    </row>
    <row r="171" spans="1:28" x14ac:dyDescent="0.35">
      <c r="A171" t="s">
        <v>448</v>
      </c>
      <c r="B171" t="s">
        <v>142</v>
      </c>
      <c r="C171">
        <v>54</v>
      </c>
      <c r="D171" t="s">
        <v>24</v>
      </c>
      <c r="E171" t="s">
        <v>89</v>
      </c>
      <c r="F171" t="s">
        <v>121</v>
      </c>
      <c r="G171" s="1">
        <v>45753</v>
      </c>
      <c r="H171" s="1">
        <v>46097</v>
      </c>
      <c r="I171" s="9">
        <f ca="1">DATEDIF(G171,IF(H171="",TODAY(),H171),"Y")+DATEDIF(G171,IF(H171="",TODAY(),H171),"Ym")/12</f>
        <v>0.91666666666666663</v>
      </c>
      <c r="J171" s="7" cm="1">
        <f t="array" aca="1" ref="J171" ca="1">IF(ISNUMBER(I171), I171, DAY (I171) + HOUR (I171)/24)</f>
        <v>0.91666666666666663</v>
      </c>
      <c r="K171" s="1" t="str">
        <f ca="1">IF(I171&lt;1,"0-1 yr", IF(I171&lt;3,"0-3 Yrs", IF(I171&lt;5, "3-5 yrs","5+Yrs")))</f>
        <v>0-1 yr</v>
      </c>
      <c r="L171" t="str">
        <f ca="1">IF(M171&lt;&gt;"Left","",IF(Z171&gt;20,"Work-Life Balance",IF(OR(X171&lt;=2,Y171&lt;=2),"Work Culture",IF(Q171&lt;AVERAGEIFS($Q$2:$Q$201,$E$2:$E$201,E171),"Better Salary",IF(IFERROR(DATEDIF(V171,IF(H171="",TODAY(),H171),"y"),0)&gt;=3,"Career Growth","Better Opportunity")))))</f>
        <v>Better Opportunity</v>
      </c>
      <c r="M171" t="s">
        <v>69</v>
      </c>
      <c r="N171" t="s">
        <v>70</v>
      </c>
      <c r="O171">
        <f t="shared" si="10"/>
        <v>21.013580000000001</v>
      </c>
      <c r="P171" t="str">
        <f t="shared" si="11"/>
        <v>20L-30L</v>
      </c>
      <c r="Q171">
        <v>2101358</v>
      </c>
      <c r="R171">
        <v>4</v>
      </c>
      <c r="S171" t="s">
        <v>98</v>
      </c>
      <c r="T171" t="s">
        <v>30</v>
      </c>
      <c r="U171" t="s">
        <v>84</v>
      </c>
      <c r="V171" s="1">
        <v>46189</v>
      </c>
      <c r="W171">
        <v>0.94</v>
      </c>
      <c r="X171">
        <v>3</v>
      </c>
      <c r="Y171">
        <v>5</v>
      </c>
      <c r="Z171">
        <v>20</v>
      </c>
      <c r="AA171">
        <v>55</v>
      </c>
      <c r="AB171">
        <v>40</v>
      </c>
    </row>
    <row r="172" spans="1:28" x14ac:dyDescent="0.35">
      <c r="A172" t="s">
        <v>265</v>
      </c>
      <c r="B172" t="s">
        <v>266</v>
      </c>
      <c r="C172">
        <v>44</v>
      </c>
      <c r="D172" t="s">
        <v>41</v>
      </c>
      <c r="E172" t="s">
        <v>89</v>
      </c>
      <c r="F172" t="s">
        <v>121</v>
      </c>
      <c r="G172" s="1">
        <v>44085</v>
      </c>
      <c r="H172" s="1">
        <v>44645</v>
      </c>
      <c r="I172" s="9">
        <f ca="1">DATEDIF(G172,IF(H172="",TODAY(),H172),"Y")+DATEDIF(G172,IF(H172="",TODAY(),H172),"Ym")/12</f>
        <v>1.5</v>
      </c>
      <c r="J172" s="7" cm="1">
        <f t="array" aca="1" ref="J172" ca="1">IF(ISNUMBER(I172), I172, DAY (I172) + HOUR (I172)/24)</f>
        <v>1.5</v>
      </c>
      <c r="K172" s="1" t="str">
        <f ca="1">IF(I172&lt;1,"0-1 yr", IF(I172&lt;3,"0-3 Yrs", IF(I172&lt;5, "3-5 yrs","5+Yrs")))</f>
        <v>0-3 Yrs</v>
      </c>
      <c r="L172" t="str">
        <f ca="1">IF(M172&lt;&gt;"Left","",IF(Z172&gt;20,"Work-Life Balance",IF(OR(X172&lt;=2,Y172&lt;=2),"Work Culture",IF(Q172&lt;AVERAGEIFS($Q$2:$Q$201,$E$2:$E$201,E172),"Better Salary",IF(IFERROR(DATEDIF(V172,IF(H172="",TODAY(),H172),"y"),0)&gt;=3,"Career Growth","Better Opportunity")))))</f>
        <v>Work Culture</v>
      </c>
      <c r="M172" t="s">
        <v>69</v>
      </c>
      <c r="N172" t="s">
        <v>70</v>
      </c>
      <c r="O172">
        <f t="shared" si="10"/>
        <v>21.320730000000001</v>
      </c>
      <c r="P172" t="str">
        <f t="shared" si="11"/>
        <v>20L-30L</v>
      </c>
      <c r="Q172">
        <v>2132073</v>
      </c>
      <c r="R172">
        <v>2</v>
      </c>
      <c r="S172" t="s">
        <v>29</v>
      </c>
      <c r="T172" t="s">
        <v>43</v>
      </c>
      <c r="U172" t="s">
        <v>38</v>
      </c>
      <c r="V172" s="1">
        <v>46150</v>
      </c>
      <c r="W172">
        <v>1.53</v>
      </c>
      <c r="X172">
        <v>5</v>
      </c>
      <c r="Y172">
        <v>2</v>
      </c>
      <c r="Z172">
        <v>7</v>
      </c>
      <c r="AA172">
        <v>39</v>
      </c>
      <c r="AB172">
        <v>2</v>
      </c>
    </row>
    <row r="173" spans="1:28" x14ac:dyDescent="0.35">
      <c r="A173" t="s">
        <v>148</v>
      </c>
      <c r="B173" t="s">
        <v>149</v>
      </c>
      <c r="C173">
        <v>44</v>
      </c>
      <c r="D173" t="s">
        <v>24</v>
      </c>
      <c r="E173" t="s">
        <v>89</v>
      </c>
      <c r="F173" t="s">
        <v>121</v>
      </c>
      <c r="G173" s="1">
        <v>42903</v>
      </c>
      <c r="I173" s="9">
        <f ca="1">DATEDIF(G173,IF(H173="",TODAY(),H173),"Y")+DATEDIF(G173,IF(H173="",TODAY(),H173),"Ym")/12</f>
        <v>9.1666666666666661</v>
      </c>
      <c r="J173" s="7" cm="1">
        <f t="array" aca="1" ref="J173" ca="1">IF(ISNUMBER(I173), I173, DAY (I173) + HOUR (I173)/24)</f>
        <v>9.1666666666666661</v>
      </c>
      <c r="K173" t="str">
        <f ca="1">IF(I173&lt;1,"0-1 yr", IF(I173&lt;3,"0-3 Yrs", IF(I173&lt;5, "3-5 yrs","5+Yrs")))</f>
        <v>5+Yrs</v>
      </c>
      <c r="L173" t="str">
        <f ca="1">IF(M173&lt;&gt;"Left","",IF(Z173&gt;20,"Work-Life Balance",IF(OR(X173&lt;=2,Y173&lt;=2),"Work Culture",IF(Q173&lt;AVERAGEIFS($Q$2:$Q$201,$E$2:$E$201,E173),"Better Salary",IF(IFERROR(DATEDIF(V173,IF(H173="",TODAY(),H173),"y"),0)&gt;=3,"Career Growth","Better Opportunity")))))</f>
        <v/>
      </c>
      <c r="M173" t="s">
        <v>27</v>
      </c>
      <c r="N173" t="s">
        <v>28</v>
      </c>
      <c r="O173">
        <f t="shared" si="10"/>
        <v>21.362449999999999</v>
      </c>
      <c r="P173" t="str">
        <f t="shared" si="11"/>
        <v>20L-30L</v>
      </c>
      <c r="Q173">
        <v>2136245</v>
      </c>
      <c r="R173">
        <v>3</v>
      </c>
      <c r="S173" t="s">
        <v>77</v>
      </c>
      <c r="T173" t="s">
        <v>43</v>
      </c>
      <c r="U173" t="s">
        <v>87</v>
      </c>
      <c r="V173" s="1">
        <v>45942</v>
      </c>
      <c r="W173">
        <v>9.1999999999999993</v>
      </c>
      <c r="X173">
        <v>2</v>
      </c>
      <c r="Y173">
        <v>5</v>
      </c>
      <c r="Z173">
        <v>15</v>
      </c>
      <c r="AA173">
        <v>64</v>
      </c>
      <c r="AB173">
        <v>3</v>
      </c>
    </row>
    <row r="174" spans="1:28" x14ac:dyDescent="0.35">
      <c r="A174" t="s">
        <v>239</v>
      </c>
      <c r="B174" t="s">
        <v>240</v>
      </c>
      <c r="C174">
        <v>57</v>
      </c>
      <c r="D174" t="s">
        <v>24</v>
      </c>
      <c r="E174" t="s">
        <v>89</v>
      </c>
      <c r="F174" t="s">
        <v>121</v>
      </c>
      <c r="G174" s="1">
        <v>43724</v>
      </c>
      <c r="I174" s="9">
        <f ca="1">DATEDIF(G174,IF(H174="",TODAY(),H174),"Y")+DATEDIF(G174,IF(H174="",TODAY(),H174),"Ym")/12</f>
        <v>6.916666666666667</v>
      </c>
      <c r="J174" s="7" cm="1">
        <f t="array" aca="1" ref="J174" ca="1">IF(ISNUMBER(I174), I174, DAY (I174) + HOUR (I174)/24)</f>
        <v>6.916666666666667</v>
      </c>
      <c r="K174" t="str">
        <f ca="1">IF(I174&lt;1,"0-1 yr", IF(I174&lt;3,"0-3 Yrs", IF(I174&lt;5, "3-5 yrs","5+Yrs")))</f>
        <v>5+Yrs</v>
      </c>
      <c r="L174" t="str">
        <f ca="1">IF(M174&lt;&gt;"Left","",IF(Z174&gt;20,"Work-Life Balance",IF(OR(X174&lt;=2,Y174&lt;=2),"Work Culture",IF(Q174&lt;AVERAGEIFS($Q$2:$Q$201,$E$2:$E$201,E174),"Better Salary",IF(IFERROR(DATEDIF(V174,IF(H174="",TODAY(),H174),"y"),0)&gt;=3,"Career Growth","Better Opportunity")))))</f>
        <v/>
      </c>
      <c r="M174" t="s">
        <v>27</v>
      </c>
      <c r="N174" t="s">
        <v>28</v>
      </c>
      <c r="O174">
        <f t="shared" si="10"/>
        <v>21.406759999999998</v>
      </c>
      <c r="P174" t="str">
        <f t="shared" si="11"/>
        <v>20L-30L</v>
      </c>
      <c r="Q174">
        <v>2140676</v>
      </c>
      <c r="R174">
        <v>3</v>
      </c>
      <c r="S174" t="s">
        <v>48</v>
      </c>
      <c r="T174" t="s">
        <v>30</v>
      </c>
      <c r="U174" t="s">
        <v>106</v>
      </c>
      <c r="V174" s="1">
        <v>45352</v>
      </c>
      <c r="W174">
        <v>6.95</v>
      </c>
      <c r="X174">
        <v>2</v>
      </c>
      <c r="Y174">
        <v>5</v>
      </c>
      <c r="Z174">
        <v>8</v>
      </c>
      <c r="AA174">
        <v>23</v>
      </c>
      <c r="AB174">
        <v>13</v>
      </c>
    </row>
    <row r="175" spans="1:28" x14ac:dyDescent="0.35">
      <c r="A175" t="s">
        <v>237</v>
      </c>
      <c r="B175" t="s">
        <v>238</v>
      </c>
      <c r="C175">
        <v>35</v>
      </c>
      <c r="D175" t="s">
        <v>41</v>
      </c>
      <c r="E175" t="s">
        <v>56</v>
      </c>
      <c r="F175" t="s">
        <v>157</v>
      </c>
      <c r="G175" s="1">
        <v>43720</v>
      </c>
      <c r="H175" s="1">
        <v>44317</v>
      </c>
      <c r="I175" s="9">
        <f ca="1">DATEDIF(G175,IF(H175="",TODAY(),H175),"Y")+DATEDIF(G175,IF(H175="",TODAY(),H175),"Ym")/12</f>
        <v>1.5833333333333335</v>
      </c>
      <c r="J175" s="7" cm="1">
        <f t="array" aca="1" ref="J175" ca="1">IF(ISNUMBER(I175), I175, DAY (I175) + HOUR (I175)/24)</f>
        <v>1.5833333333333335</v>
      </c>
      <c r="K175" s="1" t="str">
        <f ca="1">IF(I175&lt;1,"0-1 yr", IF(I175&lt;3,"0-3 Yrs", IF(I175&lt;5, "3-5 yrs","5+Yrs")))</f>
        <v>0-3 Yrs</v>
      </c>
      <c r="L175" t="str">
        <f ca="1">IF(M175&lt;&gt;"Left","",IF(Z175&gt;20,"Work-Life Balance",IF(OR(X175&lt;=2,Y175&lt;=2),"Work Culture",IF(Q175&lt;AVERAGEIFS($Q$2:$Q$201,$E$2:$E$201,E175),"Better Salary",IF(IFERROR(DATEDIF(V175,IF(H175="",TODAY(),H175),"y"),0)&gt;=3,"Career Growth","Better Opportunity")))))</f>
        <v>Work-Life Balance</v>
      </c>
      <c r="M175" t="s">
        <v>69</v>
      </c>
      <c r="N175" t="s">
        <v>70</v>
      </c>
      <c r="O175">
        <f t="shared" si="10"/>
        <v>21.62443</v>
      </c>
      <c r="P175" t="str">
        <f t="shared" si="11"/>
        <v>20L-30L</v>
      </c>
      <c r="Q175">
        <v>2162443</v>
      </c>
      <c r="R175">
        <v>3</v>
      </c>
      <c r="S175" t="s">
        <v>52</v>
      </c>
      <c r="T175" t="s">
        <v>30</v>
      </c>
      <c r="U175" t="s">
        <v>106</v>
      </c>
      <c r="W175">
        <v>1.63</v>
      </c>
      <c r="X175">
        <v>5</v>
      </c>
      <c r="Y175">
        <v>2</v>
      </c>
      <c r="Z175">
        <v>22</v>
      </c>
      <c r="AA175">
        <v>22</v>
      </c>
      <c r="AB175">
        <v>39</v>
      </c>
    </row>
    <row r="176" spans="1:28" x14ac:dyDescent="0.35">
      <c r="A176" t="s">
        <v>102</v>
      </c>
      <c r="B176" t="s">
        <v>103</v>
      </c>
      <c r="C176">
        <v>22</v>
      </c>
      <c r="D176" t="s">
        <v>24</v>
      </c>
      <c r="E176" t="s">
        <v>34</v>
      </c>
      <c r="F176" t="s">
        <v>42</v>
      </c>
      <c r="G176" s="1">
        <v>42404</v>
      </c>
      <c r="I176" s="9">
        <f ca="1">DATEDIF(G176,IF(H176="",TODAY(),H176),"Y")+DATEDIF(G176,IF(H176="",TODAY(),H176),"Ym")/12</f>
        <v>10.5</v>
      </c>
      <c r="J176" s="7" cm="1">
        <f t="array" aca="1" ref="J176" ca="1">IF(ISNUMBER(I176), I176, DAY (I176) + HOUR (I176)/24)</f>
        <v>10.5</v>
      </c>
      <c r="K176" t="str">
        <f ca="1">IF(I176&lt;1,"0-1 yr", IF(I176&lt;3,"0-3 Yrs", IF(I176&lt;5, "3-5 yrs","5+Yrs")))</f>
        <v>5+Yrs</v>
      </c>
      <c r="L176" t="str">
        <f ca="1">IF(M176&lt;&gt;"Left","",IF(Z176&gt;20,"Work-Life Balance",IF(OR(X176&lt;=2,Y176&lt;=2),"Work Culture",IF(Q176&lt;AVERAGEIFS($Q$2:$Q$201,$E$2:$E$201,E176),"Better Salary",IF(IFERROR(DATEDIF(V176,IF(H176="",TODAY(),H176),"y"),0)&gt;=3,"Career Growth","Better Opportunity")))))</f>
        <v/>
      </c>
      <c r="M176" t="s">
        <v>27</v>
      </c>
      <c r="N176" t="s">
        <v>28</v>
      </c>
      <c r="O176">
        <f t="shared" si="10"/>
        <v>21.734010000000001</v>
      </c>
      <c r="P176" t="str">
        <f t="shared" si="11"/>
        <v>20L-30L</v>
      </c>
      <c r="Q176">
        <v>2173401</v>
      </c>
      <c r="R176">
        <v>4</v>
      </c>
      <c r="S176" t="s">
        <v>66</v>
      </c>
      <c r="T176" t="s">
        <v>30</v>
      </c>
      <c r="U176" t="s">
        <v>58</v>
      </c>
      <c r="V176" s="1">
        <v>43933</v>
      </c>
      <c r="W176">
        <v>10.57</v>
      </c>
      <c r="X176">
        <v>3</v>
      </c>
      <c r="Y176">
        <v>1</v>
      </c>
      <c r="Z176">
        <v>22</v>
      </c>
      <c r="AA176">
        <v>55</v>
      </c>
      <c r="AB176">
        <v>20</v>
      </c>
    </row>
    <row r="177" spans="1:28" x14ac:dyDescent="0.35">
      <c r="A177" t="s">
        <v>427</v>
      </c>
      <c r="B177" t="s">
        <v>428</v>
      </c>
      <c r="C177">
        <v>41</v>
      </c>
      <c r="D177" t="s">
        <v>41</v>
      </c>
      <c r="E177" t="s">
        <v>56</v>
      </c>
      <c r="F177" t="s">
        <v>157</v>
      </c>
      <c r="G177" s="1">
        <v>45487</v>
      </c>
      <c r="H177" s="1">
        <v>46214</v>
      </c>
      <c r="I177" s="9">
        <f ca="1">DATEDIF(G177,IF(H177="",TODAY(),H177),"Y")+DATEDIF(G177,IF(H177="",TODAY(),H177),"Ym")/12</f>
        <v>1.9166666666666665</v>
      </c>
      <c r="J177" s="7" cm="1">
        <f t="array" aca="1" ref="J177" ca="1">IF(ISNUMBER(I177), I177, DAY (I177) + HOUR (I177)/24)</f>
        <v>1.9166666666666665</v>
      </c>
      <c r="K177" s="1" t="str">
        <f ca="1">IF(I177&lt;1,"0-1 yr", IF(I177&lt;3,"0-3 Yrs", IF(I177&lt;5, "3-5 yrs","5+Yrs")))</f>
        <v>0-3 Yrs</v>
      </c>
      <c r="L177" t="str">
        <f ca="1">IF(M177&lt;&gt;"Left","",IF(Z177&gt;20,"Work-Life Balance",IF(OR(X177&lt;=2,Y177&lt;=2),"Work Culture",IF(Q177&lt;AVERAGEIFS($Q$2:$Q$201,$E$2:$E$201,E177),"Better Salary",IF(IFERROR(DATEDIF(V177,IF(H177="",TODAY(),H177),"y"),0)&gt;=3,"Career Growth","Better Opportunity")))))</f>
        <v>Career Growth</v>
      </c>
      <c r="M177" t="s">
        <v>69</v>
      </c>
      <c r="N177" t="s">
        <v>70</v>
      </c>
      <c r="O177">
        <f t="shared" si="10"/>
        <v>21.85397</v>
      </c>
      <c r="P177" t="str">
        <f t="shared" si="11"/>
        <v>20L-30L</v>
      </c>
      <c r="Q177">
        <v>2185397</v>
      </c>
      <c r="R177">
        <v>3</v>
      </c>
      <c r="S177" t="s">
        <v>29</v>
      </c>
      <c r="T177" t="s">
        <v>43</v>
      </c>
      <c r="U177" t="s">
        <v>84</v>
      </c>
      <c r="W177">
        <v>1.99</v>
      </c>
      <c r="X177">
        <v>3</v>
      </c>
      <c r="Y177">
        <v>3</v>
      </c>
      <c r="Z177">
        <v>1</v>
      </c>
      <c r="AA177">
        <v>71</v>
      </c>
      <c r="AB177">
        <v>24</v>
      </c>
    </row>
    <row r="178" spans="1:28" x14ac:dyDescent="0.35">
      <c r="A178" t="s">
        <v>308</v>
      </c>
      <c r="B178" t="s">
        <v>309</v>
      </c>
      <c r="C178">
        <v>49</v>
      </c>
      <c r="D178" t="s">
        <v>24</v>
      </c>
      <c r="E178" t="s">
        <v>56</v>
      </c>
      <c r="F178" t="s">
        <v>61</v>
      </c>
      <c r="G178" s="1">
        <v>44547</v>
      </c>
      <c r="I178" s="9">
        <f ca="1">DATEDIF(G178,IF(H178="",TODAY(),H178),"Y")+DATEDIF(G178,IF(H178="",TODAY(),H178),"Ym")/12</f>
        <v>4.666666666666667</v>
      </c>
      <c r="J178" s="7" cm="1">
        <f t="array" aca="1" ref="J178" ca="1">IF(ISNUMBER(I178), I178, DAY (I178) + HOUR (I178)/24)</f>
        <v>4.666666666666667</v>
      </c>
      <c r="K178" t="str">
        <f ca="1">IF(I178&lt;1,"0-1 yr", IF(I178&lt;3,"0-3 Yrs", IF(I178&lt;5, "3-5 yrs","5+Yrs")))</f>
        <v>3-5 yrs</v>
      </c>
      <c r="L178" t="str">
        <f ca="1">IF(M178&lt;&gt;"Left","",IF(Z178&gt;20,"Work-Life Balance",IF(OR(X178&lt;=2,Y178&lt;=2),"Work Culture",IF(Q178&lt;AVERAGEIFS($Q$2:$Q$201,$E$2:$E$201,E178),"Better Salary",IF(IFERROR(DATEDIF(V178,IF(H178="",TODAY(),H178),"y"),0)&gt;=3,"Career Growth","Better Opportunity")))))</f>
        <v/>
      </c>
      <c r="M178" t="s">
        <v>27</v>
      </c>
      <c r="N178" t="s">
        <v>28</v>
      </c>
      <c r="O178">
        <f t="shared" si="10"/>
        <v>22.0808</v>
      </c>
      <c r="P178" t="str">
        <f t="shared" si="11"/>
        <v>20L-30L</v>
      </c>
      <c r="Q178">
        <v>2208080</v>
      </c>
      <c r="R178">
        <v>5</v>
      </c>
      <c r="S178" t="s">
        <v>36</v>
      </c>
      <c r="T178" t="s">
        <v>43</v>
      </c>
      <c r="U178" t="s">
        <v>58</v>
      </c>
      <c r="V178" s="1">
        <v>45179</v>
      </c>
      <c r="W178">
        <v>4.7</v>
      </c>
      <c r="X178">
        <v>2</v>
      </c>
      <c r="Y178">
        <v>3</v>
      </c>
      <c r="Z178">
        <v>0</v>
      </c>
      <c r="AA178">
        <v>31</v>
      </c>
      <c r="AB178">
        <v>14</v>
      </c>
    </row>
    <row r="179" spans="1:28" x14ac:dyDescent="0.35">
      <c r="A179" t="s">
        <v>325</v>
      </c>
      <c r="B179" t="s">
        <v>326</v>
      </c>
      <c r="C179">
        <v>23</v>
      </c>
      <c r="D179" t="s">
        <v>41</v>
      </c>
      <c r="E179" t="s">
        <v>25</v>
      </c>
      <c r="F179" t="s">
        <v>76</v>
      </c>
      <c r="G179" s="1">
        <v>44702</v>
      </c>
      <c r="H179" s="1">
        <v>45748</v>
      </c>
      <c r="I179" s="9">
        <f ca="1">DATEDIF(G179,IF(H179="",TODAY(),H179),"Y")+DATEDIF(G179,IF(H179="",TODAY(),H179),"Ym")/12</f>
        <v>2.8333333333333335</v>
      </c>
      <c r="J179" s="7" cm="1">
        <f t="array" aca="1" ref="J179" ca="1">IF(ISNUMBER(I179), I179, DAY (I179) + HOUR (I179)/24)</f>
        <v>2.8333333333333335</v>
      </c>
      <c r="K179" s="1" t="str">
        <f ca="1">IF(I179&lt;1,"0-1 yr", IF(I179&lt;3,"0-3 Yrs", IF(I179&lt;5, "3-5 yrs","5+Yrs")))</f>
        <v>0-3 Yrs</v>
      </c>
      <c r="L179" t="str">
        <f ca="1">IF(M179&lt;&gt;"Left","",IF(Z179&gt;20,"Work-Life Balance",IF(OR(X179&lt;=2,Y179&lt;=2),"Work Culture",IF(Q179&lt;AVERAGEIFS($Q$2:$Q$201,$E$2:$E$201,E179),"Better Salary",IF(IFERROR(DATEDIF(V179,IF(H179="",TODAY(),H179),"y"),0)&gt;=3,"Career Growth","Better Opportunity")))))</f>
        <v>Better Opportunity</v>
      </c>
      <c r="M179" t="s">
        <v>69</v>
      </c>
      <c r="N179" t="s">
        <v>70</v>
      </c>
      <c r="O179">
        <f t="shared" si="10"/>
        <v>22.417809999999999</v>
      </c>
      <c r="P179" t="str">
        <f t="shared" si="11"/>
        <v>20L-30L</v>
      </c>
      <c r="Q179">
        <v>2241781</v>
      </c>
      <c r="R179">
        <v>4</v>
      </c>
      <c r="S179" t="s">
        <v>52</v>
      </c>
      <c r="T179" t="s">
        <v>37</v>
      </c>
      <c r="U179" t="s">
        <v>31</v>
      </c>
      <c r="V179" s="1">
        <v>46226</v>
      </c>
      <c r="W179">
        <v>2.86</v>
      </c>
      <c r="X179">
        <v>5</v>
      </c>
      <c r="Y179">
        <v>5</v>
      </c>
      <c r="Z179">
        <v>10</v>
      </c>
      <c r="AA179">
        <v>63</v>
      </c>
      <c r="AB179">
        <v>25</v>
      </c>
    </row>
    <row r="180" spans="1:28" x14ac:dyDescent="0.35">
      <c r="A180" t="s">
        <v>331</v>
      </c>
      <c r="B180" t="s">
        <v>332</v>
      </c>
      <c r="C180">
        <v>23</v>
      </c>
      <c r="D180" t="s">
        <v>41</v>
      </c>
      <c r="E180" t="s">
        <v>56</v>
      </c>
      <c r="F180" t="s">
        <v>61</v>
      </c>
      <c r="G180" s="1">
        <v>44736</v>
      </c>
      <c r="I180" s="9">
        <f ca="1">DATEDIF(G180,IF(H180="",TODAY(),H180),"Y")+DATEDIF(G180,IF(H180="",TODAY(),H180),"Ym")/12</f>
        <v>4.166666666666667</v>
      </c>
      <c r="J180" s="7" cm="1">
        <f t="array" aca="1" ref="J180" ca="1">IF(ISNUMBER(I180), I180, DAY (I180) + HOUR (I180)/24)</f>
        <v>4.166666666666667</v>
      </c>
      <c r="K180" t="str">
        <f ca="1">IF(I180&lt;1,"0-1 yr", IF(I180&lt;3,"0-3 Yrs", IF(I180&lt;5, "3-5 yrs","5+Yrs")))</f>
        <v>3-5 yrs</v>
      </c>
      <c r="L180" t="str">
        <f ca="1">IF(M180&lt;&gt;"Left","",IF(Z180&gt;20,"Work-Life Balance",IF(OR(X180&lt;=2,Y180&lt;=2),"Work Culture",IF(Q180&lt;AVERAGEIFS($Q$2:$Q$201,$E$2:$E$201,E180),"Better Salary",IF(IFERROR(DATEDIF(V180,IF(H180="",TODAY(),H180),"y"),0)&gt;=3,"Career Growth","Better Opportunity")))))</f>
        <v/>
      </c>
      <c r="M180" t="s">
        <v>27</v>
      </c>
      <c r="N180" t="s">
        <v>28</v>
      </c>
      <c r="O180">
        <f t="shared" si="10"/>
        <v>22.6096</v>
      </c>
      <c r="P180" t="str">
        <f t="shared" si="11"/>
        <v>20L-30L</v>
      </c>
      <c r="Q180">
        <v>2260960</v>
      </c>
      <c r="R180">
        <v>3</v>
      </c>
      <c r="S180" t="s">
        <v>29</v>
      </c>
      <c r="T180" t="s">
        <v>43</v>
      </c>
      <c r="U180" t="s">
        <v>31</v>
      </c>
      <c r="V180" s="1">
        <v>45296</v>
      </c>
      <c r="W180">
        <v>4.18</v>
      </c>
      <c r="X180">
        <v>2</v>
      </c>
      <c r="Y180">
        <v>5</v>
      </c>
      <c r="Z180">
        <v>4</v>
      </c>
      <c r="AA180">
        <v>5</v>
      </c>
      <c r="AB180">
        <v>20</v>
      </c>
    </row>
    <row r="181" spans="1:28" x14ac:dyDescent="0.35">
      <c r="A181" t="s">
        <v>357</v>
      </c>
      <c r="B181" t="s">
        <v>358</v>
      </c>
      <c r="C181">
        <v>22</v>
      </c>
      <c r="D181" t="s">
        <v>41</v>
      </c>
      <c r="E181" t="s">
        <v>34</v>
      </c>
      <c r="F181" t="s">
        <v>42</v>
      </c>
      <c r="G181" s="1">
        <v>44969</v>
      </c>
      <c r="I181" s="9">
        <f ca="1">DATEDIF(G181,IF(H181="",TODAY(),H181),"Y")+DATEDIF(G181,IF(H181="",TODAY(),H181),"Ym")/12</f>
        <v>3.5</v>
      </c>
      <c r="J181" s="7" cm="1">
        <f t="array" aca="1" ref="J181" ca="1">IF(ISNUMBER(I181), I181, DAY (I181) + HOUR (I181)/24)</f>
        <v>3.5</v>
      </c>
      <c r="K181" t="str">
        <f ca="1">IF(I181&lt;1,"0-1 yr", IF(I181&lt;3,"0-3 Yrs", IF(I181&lt;5, "3-5 yrs","5+Yrs")))</f>
        <v>3-5 yrs</v>
      </c>
      <c r="L181" t="str">
        <f ca="1">IF(M181&lt;&gt;"Left","",IF(Z181&gt;20,"Work-Life Balance",IF(OR(X181&lt;=2,Y181&lt;=2),"Work Culture",IF(Q181&lt;AVERAGEIFS($Q$2:$Q$201,$E$2:$E$201,E181),"Better Salary",IF(IFERROR(DATEDIF(V181,IF(H181="",TODAY(),H181),"y"),0)&gt;=3,"Career Growth","Better Opportunity")))))</f>
        <v/>
      </c>
      <c r="M181" t="s">
        <v>27</v>
      </c>
      <c r="N181" t="s">
        <v>28</v>
      </c>
      <c r="O181">
        <f t="shared" si="10"/>
        <v>22.782800000000002</v>
      </c>
      <c r="P181" t="str">
        <f t="shared" si="11"/>
        <v>20L-30L</v>
      </c>
      <c r="Q181">
        <v>2278280</v>
      </c>
      <c r="R181">
        <v>5</v>
      </c>
      <c r="S181" t="s">
        <v>98</v>
      </c>
      <c r="T181" t="s">
        <v>30</v>
      </c>
      <c r="U181" t="s">
        <v>106</v>
      </c>
      <c r="V181" s="1">
        <v>45422</v>
      </c>
      <c r="W181">
        <v>3.55</v>
      </c>
      <c r="X181">
        <v>3</v>
      </c>
      <c r="Y181">
        <v>3</v>
      </c>
      <c r="Z181">
        <v>24</v>
      </c>
      <c r="AA181">
        <v>67</v>
      </c>
      <c r="AB181">
        <v>26</v>
      </c>
    </row>
    <row r="182" spans="1:28" x14ac:dyDescent="0.35">
      <c r="A182" t="s">
        <v>401</v>
      </c>
      <c r="B182" t="s">
        <v>204</v>
      </c>
      <c r="C182">
        <v>32</v>
      </c>
      <c r="D182" t="s">
        <v>24</v>
      </c>
      <c r="E182" t="s">
        <v>34</v>
      </c>
      <c r="F182" t="s">
        <v>42</v>
      </c>
      <c r="G182" s="1">
        <v>45317</v>
      </c>
      <c r="H182" s="1">
        <v>45663</v>
      </c>
      <c r="I182" s="9">
        <f ca="1">DATEDIF(G182,IF(H182="",TODAY(),H182),"Y")+DATEDIF(G182,IF(H182="",TODAY(),H182),"Ym")/12</f>
        <v>0.91666666666666663</v>
      </c>
      <c r="J182" s="7" cm="1">
        <f t="array" aca="1" ref="J182" ca="1">IF(ISNUMBER(I182), I182, DAY (I182) + HOUR (I182)/24)</f>
        <v>0.91666666666666663</v>
      </c>
      <c r="K182" s="1" t="str">
        <f ca="1">IF(I182&lt;1,"0-1 yr", IF(I182&lt;3,"0-3 Yrs", IF(I182&lt;5, "3-5 yrs","5+Yrs")))</f>
        <v>0-1 yr</v>
      </c>
      <c r="L182" t="str">
        <f ca="1">IF(M182&lt;&gt;"Left","",IF(Z182&gt;20,"Work-Life Balance",IF(OR(X182&lt;=2,Y182&lt;=2),"Work Culture",IF(Q182&lt;AVERAGEIFS($Q$2:$Q$201,$E$2:$E$201,E182),"Better Salary",IF(IFERROR(DATEDIF(V182,IF(H182="",TODAY(),H182),"y"),0)&gt;=3,"Career Growth","Better Opportunity")))))</f>
        <v>Work-Life Balance</v>
      </c>
      <c r="M182" t="s">
        <v>69</v>
      </c>
      <c r="N182" t="s">
        <v>70</v>
      </c>
      <c r="O182">
        <f t="shared" si="10"/>
        <v>23.39602</v>
      </c>
      <c r="P182" t="str">
        <f t="shared" si="11"/>
        <v>20L-30L</v>
      </c>
      <c r="Q182">
        <v>2339602</v>
      </c>
      <c r="R182">
        <v>4</v>
      </c>
      <c r="S182" t="s">
        <v>66</v>
      </c>
      <c r="T182" t="s">
        <v>30</v>
      </c>
      <c r="U182" t="s">
        <v>84</v>
      </c>
      <c r="V182" s="1">
        <v>45807</v>
      </c>
      <c r="W182">
        <v>0.95</v>
      </c>
      <c r="X182">
        <v>5</v>
      </c>
      <c r="Y182">
        <v>2</v>
      </c>
      <c r="Z182">
        <v>23</v>
      </c>
      <c r="AA182">
        <v>59</v>
      </c>
      <c r="AB182">
        <v>10</v>
      </c>
    </row>
    <row r="183" spans="1:28" x14ac:dyDescent="0.35">
      <c r="A183" t="s">
        <v>251</v>
      </c>
      <c r="B183" t="s">
        <v>252</v>
      </c>
      <c r="C183">
        <v>23</v>
      </c>
      <c r="D183" t="s">
        <v>24</v>
      </c>
      <c r="E183" t="s">
        <v>34</v>
      </c>
      <c r="F183" t="s">
        <v>42</v>
      </c>
      <c r="G183" s="1">
        <v>43842</v>
      </c>
      <c r="I183" s="9">
        <f ca="1">DATEDIF(G183,IF(H183="",TODAY(),H183),"Y")+DATEDIF(G183,IF(H183="",TODAY(),H183),"Ym")/12</f>
        <v>6.583333333333333</v>
      </c>
      <c r="J183" s="7" cm="1">
        <f t="array" aca="1" ref="J183" ca="1">IF(ISNUMBER(I183), I183, DAY (I183) + HOUR (I183)/24)</f>
        <v>6.583333333333333</v>
      </c>
      <c r="K183" t="str">
        <f ca="1">IF(I183&lt;1,"0-1 yr", IF(I183&lt;3,"0-3 Yrs", IF(I183&lt;5, "3-5 yrs","5+Yrs")))</f>
        <v>5+Yrs</v>
      </c>
      <c r="L183" t="str">
        <f ca="1">IF(M183&lt;&gt;"Left","",IF(Z183&gt;20,"Work-Life Balance",IF(OR(X183&lt;=2,Y183&lt;=2),"Work Culture",IF(Q183&lt;AVERAGEIFS($Q$2:$Q$201,$E$2:$E$201,E183),"Better Salary",IF(IFERROR(DATEDIF(V183,IF(H183="",TODAY(),H183),"y"),0)&gt;=3,"Career Growth","Better Opportunity")))))</f>
        <v/>
      </c>
      <c r="M183" t="s">
        <v>27</v>
      </c>
      <c r="N183" t="s">
        <v>28</v>
      </c>
      <c r="O183">
        <f t="shared" si="10"/>
        <v>24.207149999999999</v>
      </c>
      <c r="P183" t="str">
        <f t="shared" si="11"/>
        <v>20L-30L</v>
      </c>
      <c r="Q183">
        <v>2420715</v>
      </c>
      <c r="R183">
        <v>5</v>
      </c>
      <c r="S183" t="s">
        <v>98</v>
      </c>
      <c r="T183" t="s">
        <v>30</v>
      </c>
      <c r="U183" t="s">
        <v>106</v>
      </c>
      <c r="V183" s="1">
        <v>44686</v>
      </c>
      <c r="W183">
        <v>6.63</v>
      </c>
      <c r="X183">
        <v>5</v>
      </c>
      <c r="Y183">
        <v>4</v>
      </c>
      <c r="Z183">
        <v>4</v>
      </c>
      <c r="AA183">
        <v>77</v>
      </c>
      <c r="AB183">
        <v>18</v>
      </c>
    </row>
    <row r="184" spans="1:28" x14ac:dyDescent="0.35">
      <c r="A184" t="s">
        <v>287</v>
      </c>
      <c r="B184" t="s">
        <v>288</v>
      </c>
      <c r="C184">
        <v>35</v>
      </c>
      <c r="D184" t="s">
        <v>24</v>
      </c>
      <c r="E184" t="s">
        <v>56</v>
      </c>
      <c r="F184" t="s">
        <v>61</v>
      </c>
      <c r="G184" s="1">
        <v>44353</v>
      </c>
      <c r="I184" s="9">
        <f ca="1">DATEDIF(G184,IF(H184="",TODAY(),H184),"Y")+DATEDIF(G184,IF(H184="",TODAY(),H184),"Ym")/12</f>
        <v>5.166666666666667</v>
      </c>
      <c r="J184" s="7" cm="1">
        <f t="array" aca="1" ref="J184" ca="1">IF(ISNUMBER(I184), I184, DAY (I184) + HOUR (I184)/24)</f>
        <v>5.166666666666667</v>
      </c>
      <c r="K184" t="str">
        <f ca="1">IF(I184&lt;1,"0-1 yr", IF(I184&lt;3,"0-3 Yrs", IF(I184&lt;5, "3-5 yrs","5+Yrs")))</f>
        <v>5+Yrs</v>
      </c>
      <c r="L184" t="str">
        <f ca="1">IF(M184&lt;&gt;"Left","",IF(Z184&gt;20,"Work-Life Balance",IF(OR(X184&lt;=2,Y184&lt;=2),"Work Culture",IF(Q184&lt;AVERAGEIFS($Q$2:$Q$201,$E$2:$E$201,E184),"Better Salary",IF(IFERROR(DATEDIF(V184,IF(H184="",TODAY(),H184),"y"),0)&gt;=3,"Career Growth","Better Opportunity")))))</f>
        <v/>
      </c>
      <c r="M184" t="s">
        <v>27</v>
      </c>
      <c r="N184" t="s">
        <v>28</v>
      </c>
      <c r="O184">
        <f t="shared" si="10"/>
        <v>24.222729999999999</v>
      </c>
      <c r="P184" t="str">
        <f t="shared" si="11"/>
        <v>20L-30L</v>
      </c>
      <c r="Q184">
        <v>2422273</v>
      </c>
      <c r="R184">
        <v>4</v>
      </c>
      <c r="S184" t="s">
        <v>66</v>
      </c>
      <c r="T184" t="s">
        <v>30</v>
      </c>
      <c r="U184" t="s">
        <v>106</v>
      </c>
      <c r="V184" s="1">
        <v>45482</v>
      </c>
      <c r="W184">
        <v>5.23</v>
      </c>
      <c r="X184">
        <v>5</v>
      </c>
      <c r="Y184">
        <v>4</v>
      </c>
      <c r="Z184">
        <v>2</v>
      </c>
      <c r="AA184">
        <v>79</v>
      </c>
      <c r="AB184">
        <v>19</v>
      </c>
    </row>
    <row r="185" spans="1:28" x14ac:dyDescent="0.35">
      <c r="A185" t="s">
        <v>318</v>
      </c>
      <c r="B185" t="s">
        <v>319</v>
      </c>
      <c r="C185">
        <v>39</v>
      </c>
      <c r="D185" t="s">
        <v>41</v>
      </c>
      <c r="E185" t="s">
        <v>25</v>
      </c>
      <c r="F185" t="s">
        <v>76</v>
      </c>
      <c r="G185" s="1">
        <v>44653</v>
      </c>
      <c r="H185" s="1">
        <v>45754</v>
      </c>
      <c r="I185" s="9">
        <f ca="1">DATEDIF(G185,IF(H185="",TODAY(),H185),"Y")+DATEDIF(G185,IF(H185="",TODAY(),H185),"Ym")/12</f>
        <v>3</v>
      </c>
      <c r="J185" s="7" cm="1">
        <f t="array" aca="1" ref="J185" ca="1">IF(ISNUMBER(I185), I185, DAY (I185) + HOUR (I185)/24)</f>
        <v>3</v>
      </c>
      <c r="K185" s="1" t="str">
        <f ca="1">IF(I185&lt;1,"0-1 yr", IF(I185&lt;3,"0-3 Yrs", IF(I185&lt;5, "3-5 yrs","5+Yrs")))</f>
        <v>3-5 yrs</v>
      </c>
      <c r="L185" t="str">
        <f ca="1">IF(M185&lt;&gt;"Left","",IF(Z185&gt;20,"Work-Life Balance",IF(OR(X185&lt;=2,Y185&lt;=2),"Work Culture",IF(Q185&lt;AVERAGEIFS($Q$2:$Q$201,$E$2:$E$201,E185),"Better Salary",IF(IFERROR(DATEDIF(V185,IF(H185="",TODAY(),H185),"y"),0)&gt;=3,"Career Growth","Better Opportunity")))))</f>
        <v>Better Opportunity</v>
      </c>
      <c r="M185" t="s">
        <v>69</v>
      </c>
      <c r="N185" t="s">
        <v>70</v>
      </c>
      <c r="O185">
        <f t="shared" si="10"/>
        <v>24.284690000000001</v>
      </c>
      <c r="P185" t="str">
        <f t="shared" si="11"/>
        <v>20L-30L</v>
      </c>
      <c r="Q185">
        <v>2428469</v>
      </c>
      <c r="R185">
        <v>4</v>
      </c>
      <c r="S185" t="s">
        <v>66</v>
      </c>
      <c r="T185" t="s">
        <v>30</v>
      </c>
      <c r="U185" t="s">
        <v>31</v>
      </c>
      <c r="V185" s="1">
        <v>45343</v>
      </c>
      <c r="W185">
        <v>3.01</v>
      </c>
      <c r="X185">
        <v>5</v>
      </c>
      <c r="Y185">
        <v>5</v>
      </c>
      <c r="Z185">
        <v>6</v>
      </c>
      <c r="AA185">
        <v>18</v>
      </c>
      <c r="AB185">
        <v>33</v>
      </c>
    </row>
    <row r="186" spans="1:28" x14ac:dyDescent="0.35">
      <c r="A186" t="s">
        <v>199</v>
      </c>
      <c r="B186" t="s">
        <v>200</v>
      </c>
      <c r="C186">
        <v>23</v>
      </c>
      <c r="D186" t="s">
        <v>41</v>
      </c>
      <c r="E186" t="s">
        <v>56</v>
      </c>
      <c r="F186" t="s">
        <v>61</v>
      </c>
      <c r="G186" s="1">
        <v>43417</v>
      </c>
      <c r="I186" s="9">
        <f ca="1">DATEDIF(G186,IF(H186="",TODAY(),H186),"Y")+DATEDIF(G186,IF(H186="",TODAY(),H186),"Ym")/12</f>
        <v>7.75</v>
      </c>
      <c r="J186" s="7" cm="1">
        <f t="array" aca="1" ref="J186" ca="1">IF(ISNUMBER(I186), I186, DAY (I186) + HOUR (I186)/24)</f>
        <v>7.75</v>
      </c>
      <c r="K186" t="str">
        <f ca="1">IF(I186&lt;1,"0-1 yr", IF(I186&lt;3,"0-3 Yrs", IF(I186&lt;5, "3-5 yrs","5+Yrs")))</f>
        <v>5+Yrs</v>
      </c>
      <c r="L186" t="str">
        <f ca="1">IF(M186&lt;&gt;"Left","",IF(Z186&gt;20,"Work-Life Balance",IF(OR(X186&lt;=2,Y186&lt;=2),"Work Culture",IF(Q186&lt;AVERAGEIFS($Q$2:$Q$201,$E$2:$E$201,E186),"Better Salary",IF(IFERROR(DATEDIF(V186,IF(H186="",TODAY(),H186),"y"),0)&gt;=3,"Career Growth","Better Opportunity")))))</f>
        <v/>
      </c>
      <c r="M186" t="s">
        <v>27</v>
      </c>
      <c r="N186" t="s">
        <v>28</v>
      </c>
      <c r="O186">
        <f t="shared" si="10"/>
        <v>24.297550000000001</v>
      </c>
      <c r="P186" t="str">
        <f t="shared" si="11"/>
        <v>20L-30L</v>
      </c>
      <c r="Q186">
        <v>2429755</v>
      </c>
      <c r="R186">
        <v>4</v>
      </c>
      <c r="S186" t="s">
        <v>98</v>
      </c>
      <c r="T186" t="s">
        <v>43</v>
      </c>
      <c r="U186" t="s">
        <v>58</v>
      </c>
      <c r="V186" s="1">
        <v>46100</v>
      </c>
      <c r="W186">
        <v>7.79</v>
      </c>
      <c r="X186">
        <v>3</v>
      </c>
      <c r="Y186">
        <v>5</v>
      </c>
      <c r="Z186">
        <v>17</v>
      </c>
      <c r="AA186">
        <v>9</v>
      </c>
      <c r="AB186">
        <v>34</v>
      </c>
    </row>
    <row r="187" spans="1:28" x14ac:dyDescent="0.35">
      <c r="A187" t="s">
        <v>181</v>
      </c>
      <c r="B187" t="s">
        <v>182</v>
      </c>
      <c r="C187">
        <v>27</v>
      </c>
      <c r="D187" t="s">
        <v>41</v>
      </c>
      <c r="E187" t="s">
        <v>34</v>
      </c>
      <c r="F187" t="s">
        <v>42</v>
      </c>
      <c r="G187" s="1">
        <v>43241</v>
      </c>
      <c r="I187" s="9">
        <f ca="1">DATEDIF(G187,IF(H187="",TODAY(),H187),"Y")+DATEDIF(G187,IF(H187="",TODAY(),H187),"Ym")/12</f>
        <v>8.25</v>
      </c>
      <c r="J187" s="7" cm="1">
        <f t="array" aca="1" ref="J187" ca="1">IF(ISNUMBER(I187), I187, DAY (I187) + HOUR (I187)/24)</f>
        <v>8.25</v>
      </c>
      <c r="K187" t="str">
        <f ca="1">IF(I187&lt;1,"0-1 yr", IF(I187&lt;3,"0-3 Yrs", IF(I187&lt;5, "3-5 yrs","5+Yrs")))</f>
        <v>5+Yrs</v>
      </c>
      <c r="L187" t="str">
        <f ca="1">IF(M187&lt;&gt;"Left","",IF(Z187&gt;20,"Work-Life Balance",IF(OR(X187&lt;=2,Y187&lt;=2),"Work Culture",IF(Q187&lt;AVERAGEIFS($Q$2:$Q$201,$E$2:$E$201,E187),"Better Salary",IF(IFERROR(DATEDIF(V187,IF(H187="",TODAY(),H187),"y"),0)&gt;=3,"Career Growth","Better Opportunity")))))</f>
        <v/>
      </c>
      <c r="M187" t="s">
        <v>27</v>
      </c>
      <c r="N187" t="s">
        <v>28</v>
      </c>
      <c r="O187">
        <f t="shared" si="10"/>
        <v>24.357559999999999</v>
      </c>
      <c r="P187" t="str">
        <f t="shared" si="11"/>
        <v>20L-30L</v>
      </c>
      <c r="Q187">
        <v>2435756</v>
      </c>
      <c r="R187">
        <v>3</v>
      </c>
      <c r="S187" t="s">
        <v>29</v>
      </c>
      <c r="T187" t="s">
        <v>30</v>
      </c>
      <c r="U187" t="s">
        <v>38</v>
      </c>
      <c r="V187" s="1">
        <v>45013</v>
      </c>
      <c r="W187">
        <v>8.2799999999999994</v>
      </c>
      <c r="X187">
        <v>4</v>
      </c>
      <c r="Y187">
        <v>3</v>
      </c>
      <c r="Z187">
        <v>3</v>
      </c>
      <c r="AA187">
        <v>10</v>
      </c>
      <c r="AB187">
        <v>31</v>
      </c>
    </row>
    <row r="188" spans="1:28" x14ac:dyDescent="0.35">
      <c r="A188" t="s">
        <v>440</v>
      </c>
      <c r="B188" t="s">
        <v>441</v>
      </c>
      <c r="C188">
        <v>51</v>
      </c>
      <c r="D188" t="s">
        <v>24</v>
      </c>
      <c r="E188" t="s">
        <v>56</v>
      </c>
      <c r="F188" t="s">
        <v>157</v>
      </c>
      <c r="G188" s="1">
        <v>45685</v>
      </c>
      <c r="I188" s="9">
        <f ca="1">DATEDIF(G188,IF(H188="",TODAY(),H188),"Y")+DATEDIF(G188,IF(H188="",TODAY(),H188),"Ym")/12</f>
        <v>1.5833333333333335</v>
      </c>
      <c r="J188" s="7" cm="1">
        <f t="array" aca="1" ref="J188" ca="1">IF(ISNUMBER(I188), I188, DAY (I188) + HOUR (I188)/24)</f>
        <v>1.5833333333333335</v>
      </c>
      <c r="K188" t="str">
        <f ca="1">IF(I188&lt;1,"0-1 yr", IF(I188&lt;3,"0-3 Yrs", IF(I188&lt;5, "3-5 yrs","5+Yrs")))</f>
        <v>0-3 Yrs</v>
      </c>
      <c r="L188" t="str">
        <f ca="1">IF(M188&lt;&gt;"Left","",IF(Z188&gt;20,"Work-Life Balance",IF(OR(X188&lt;=2,Y188&lt;=2),"Work Culture",IF(Q188&lt;AVERAGEIFS($Q$2:$Q$201,$E$2:$E$201,E188),"Better Salary",IF(IFERROR(DATEDIF(V188,IF(H188="",TODAY(),H188),"y"),0)&gt;=3,"Career Growth","Better Opportunity")))))</f>
        <v/>
      </c>
      <c r="M188" t="s">
        <v>27</v>
      </c>
      <c r="N188" t="s">
        <v>28</v>
      </c>
      <c r="O188">
        <f t="shared" si="10"/>
        <v>24.408660000000001</v>
      </c>
      <c r="P188" t="str">
        <f t="shared" si="11"/>
        <v>20L-30L</v>
      </c>
      <c r="Q188">
        <v>2440866</v>
      </c>
      <c r="R188">
        <v>5</v>
      </c>
      <c r="S188" t="s">
        <v>98</v>
      </c>
      <c r="T188" t="s">
        <v>30</v>
      </c>
      <c r="U188" t="s">
        <v>38</v>
      </c>
      <c r="W188">
        <v>1.59</v>
      </c>
      <c r="X188">
        <v>5</v>
      </c>
      <c r="Y188">
        <v>5</v>
      </c>
      <c r="Z188">
        <v>15</v>
      </c>
      <c r="AA188">
        <v>51</v>
      </c>
      <c r="AB188">
        <v>24</v>
      </c>
    </row>
    <row r="189" spans="1:28" x14ac:dyDescent="0.35">
      <c r="A189" t="s">
        <v>160</v>
      </c>
      <c r="B189" t="s">
        <v>161</v>
      </c>
      <c r="C189">
        <v>35</v>
      </c>
      <c r="D189" t="s">
        <v>24</v>
      </c>
      <c r="E189" t="s">
        <v>56</v>
      </c>
      <c r="F189" t="s">
        <v>61</v>
      </c>
      <c r="G189" s="1">
        <v>43003</v>
      </c>
      <c r="I189" s="9">
        <f ca="1">DATEDIF(G189,IF(H189="",TODAY(),H189),"Y")+DATEDIF(G189,IF(H189="",TODAY(),H189),"Ym")/12</f>
        <v>8.9166666666666661</v>
      </c>
      <c r="J189" s="7" cm="1">
        <f t="array" aca="1" ref="J189" ca="1">IF(ISNUMBER(I189), I189, DAY (I189) + HOUR (I189)/24)</f>
        <v>8.9166666666666661</v>
      </c>
      <c r="K189" t="str">
        <f ca="1">IF(I189&lt;1,"0-1 yr", IF(I189&lt;3,"0-3 Yrs", IF(I189&lt;5, "3-5 yrs","5+Yrs")))</f>
        <v>5+Yrs</v>
      </c>
      <c r="L189" t="str">
        <f ca="1">IF(M189&lt;&gt;"Left","",IF(Z189&gt;20,"Work-Life Balance",IF(OR(X189&lt;=2,Y189&lt;=2),"Work Culture",IF(Q189&lt;AVERAGEIFS($Q$2:$Q$201,$E$2:$E$201,E189),"Better Salary",IF(IFERROR(DATEDIF(V189,IF(H189="",TODAY(),H189),"y"),0)&gt;=3,"Career Growth","Better Opportunity")))))</f>
        <v/>
      </c>
      <c r="M189" t="s">
        <v>27</v>
      </c>
      <c r="N189" t="s">
        <v>28</v>
      </c>
      <c r="O189">
        <f t="shared" si="10"/>
        <v>24.62734</v>
      </c>
      <c r="P189" t="str">
        <f t="shared" si="11"/>
        <v>20L-30L</v>
      </c>
      <c r="Q189">
        <v>2462734</v>
      </c>
      <c r="R189">
        <v>3</v>
      </c>
      <c r="S189" t="s">
        <v>66</v>
      </c>
      <c r="T189" t="s">
        <v>43</v>
      </c>
      <c r="U189" t="s">
        <v>122</v>
      </c>
      <c r="V189" s="1">
        <v>44680</v>
      </c>
      <c r="W189">
        <v>8.93</v>
      </c>
      <c r="X189">
        <v>2</v>
      </c>
      <c r="Y189">
        <v>4</v>
      </c>
      <c r="Z189">
        <v>19</v>
      </c>
      <c r="AA189">
        <v>12</v>
      </c>
      <c r="AB189">
        <v>8</v>
      </c>
    </row>
    <row r="190" spans="1:28" x14ac:dyDescent="0.35">
      <c r="A190" t="s">
        <v>433</v>
      </c>
      <c r="B190" t="s">
        <v>434</v>
      </c>
      <c r="C190">
        <v>48</v>
      </c>
      <c r="D190" t="s">
        <v>24</v>
      </c>
      <c r="E190" t="s">
        <v>34</v>
      </c>
      <c r="F190" t="s">
        <v>42</v>
      </c>
      <c r="G190" s="1">
        <v>45601</v>
      </c>
      <c r="I190" s="9">
        <f ca="1">DATEDIF(G190,IF(H190="",TODAY(),H190),"Y")+DATEDIF(G190,IF(H190="",TODAY(),H190),"Ym")/12</f>
        <v>1.75</v>
      </c>
      <c r="J190" s="7" cm="1">
        <f t="array" aca="1" ref="J190" ca="1">IF(ISNUMBER(I190), I190, DAY (I190) + HOUR (I190)/24)</f>
        <v>1.75</v>
      </c>
      <c r="K190" t="str">
        <f ca="1">IF(I190&lt;1,"0-1 yr", IF(I190&lt;3,"0-3 Yrs", IF(I190&lt;5, "3-5 yrs","5+Yrs")))</f>
        <v>0-3 Yrs</v>
      </c>
      <c r="L190" t="str">
        <f ca="1">IF(M190&lt;&gt;"Left","",IF(Z190&gt;20,"Work-Life Balance",IF(OR(X190&lt;=2,Y190&lt;=2),"Work Culture",IF(Q190&lt;AVERAGEIFS($Q$2:$Q$201,$E$2:$E$201,E190),"Better Salary",IF(IFERROR(DATEDIF(V190,IF(H190="",TODAY(),H190),"y"),0)&gt;=3,"Career Growth","Better Opportunity")))))</f>
        <v/>
      </c>
      <c r="M190" t="s">
        <v>27</v>
      </c>
      <c r="N190" t="s">
        <v>28</v>
      </c>
      <c r="O190">
        <f t="shared" si="10"/>
        <v>24.761009999999999</v>
      </c>
      <c r="P190" t="str">
        <f t="shared" si="11"/>
        <v>20L-30L</v>
      </c>
      <c r="Q190">
        <v>2476101</v>
      </c>
      <c r="R190">
        <v>3</v>
      </c>
      <c r="S190" t="s">
        <v>77</v>
      </c>
      <c r="T190" t="s">
        <v>37</v>
      </c>
      <c r="U190" t="s">
        <v>58</v>
      </c>
      <c r="V190" s="1">
        <v>45967</v>
      </c>
      <c r="W190">
        <v>1.82</v>
      </c>
      <c r="X190">
        <v>1</v>
      </c>
      <c r="Y190">
        <v>5</v>
      </c>
      <c r="Z190">
        <v>1</v>
      </c>
      <c r="AA190">
        <v>56</v>
      </c>
      <c r="AB190">
        <v>39</v>
      </c>
    </row>
    <row r="191" spans="1:28" x14ac:dyDescent="0.35">
      <c r="A191" t="s">
        <v>423</v>
      </c>
      <c r="B191" t="s">
        <v>75</v>
      </c>
      <c r="C191">
        <v>22</v>
      </c>
      <c r="D191" t="s">
        <v>41</v>
      </c>
      <c r="E191" t="s">
        <v>25</v>
      </c>
      <c r="F191" t="s">
        <v>76</v>
      </c>
      <c r="G191" s="1">
        <v>45478</v>
      </c>
      <c r="I191" s="9">
        <f ca="1">DATEDIF(G191,IF(H191="",TODAY(),H191),"Y")+DATEDIF(G191,IF(H191="",TODAY(),H191),"Ym")/12</f>
        <v>2.0833333333333335</v>
      </c>
      <c r="J191" s="7" cm="1">
        <f t="array" aca="1" ref="J191" ca="1">IF(ISNUMBER(I191), I191, DAY (I191) + HOUR (I191)/24)</f>
        <v>2.0833333333333335</v>
      </c>
      <c r="K191" t="str">
        <f ca="1">IF(I191&lt;1,"0-1 yr", IF(I191&lt;3,"0-3 Yrs", IF(I191&lt;5, "3-5 yrs","5+Yrs")))</f>
        <v>0-3 Yrs</v>
      </c>
      <c r="L191" t="str">
        <f ca="1">IF(M191&lt;&gt;"Left","",IF(Z191&gt;20,"Work-Life Balance",IF(OR(X191&lt;=2,Y191&lt;=2),"Work Culture",IF(Q191&lt;AVERAGEIFS($Q$2:$Q$201,$E$2:$E$201,E191),"Better Salary",IF(IFERROR(DATEDIF(V191,IF(H191="",TODAY(),H191),"y"),0)&gt;=3,"Career Growth","Better Opportunity")))))</f>
        <v/>
      </c>
      <c r="M191" t="s">
        <v>27</v>
      </c>
      <c r="N191" t="s">
        <v>28</v>
      </c>
      <c r="O191">
        <f t="shared" si="10"/>
        <v>25.063289999999999</v>
      </c>
      <c r="P191" t="str">
        <f t="shared" si="11"/>
        <v>20L-30L</v>
      </c>
      <c r="Q191">
        <v>2506329</v>
      </c>
      <c r="R191">
        <v>2</v>
      </c>
      <c r="S191" t="s">
        <v>66</v>
      </c>
      <c r="T191" t="s">
        <v>30</v>
      </c>
      <c r="U191" t="s">
        <v>122</v>
      </c>
      <c r="V191" s="1">
        <v>46105</v>
      </c>
      <c r="W191">
        <v>2.15</v>
      </c>
      <c r="X191">
        <v>2</v>
      </c>
      <c r="Y191">
        <v>2</v>
      </c>
      <c r="Z191">
        <v>10</v>
      </c>
      <c r="AA191">
        <v>48</v>
      </c>
      <c r="AB191">
        <v>30</v>
      </c>
    </row>
    <row r="192" spans="1:28" x14ac:dyDescent="0.35">
      <c r="A192" t="s">
        <v>117</v>
      </c>
      <c r="B192" t="s">
        <v>118</v>
      </c>
      <c r="C192">
        <v>46</v>
      </c>
      <c r="D192" t="s">
        <v>41</v>
      </c>
      <c r="E192" t="s">
        <v>56</v>
      </c>
      <c r="F192" t="s">
        <v>61</v>
      </c>
      <c r="G192" s="1">
        <v>42452</v>
      </c>
      <c r="I192" s="9">
        <f ca="1">DATEDIF(G192,IF(H192="",TODAY(),H192),"Y")+DATEDIF(G192,IF(H192="",TODAY(),H192),"Ym")/12</f>
        <v>10.416666666666666</v>
      </c>
      <c r="J192" s="7" cm="1">
        <f t="array" aca="1" ref="J192" ca="1">IF(ISNUMBER(I192), I192, DAY (I192) + HOUR (I192)/24)</f>
        <v>10.416666666666666</v>
      </c>
      <c r="K192" t="str">
        <f ca="1">IF(I192&lt;1,"0-1 yr", IF(I192&lt;3,"0-3 Yrs", IF(I192&lt;5, "3-5 yrs","5+Yrs")))</f>
        <v>5+Yrs</v>
      </c>
      <c r="L192" t="str">
        <f ca="1">IF(M192&lt;&gt;"Left","",IF(Z192&gt;20,"Work-Life Balance",IF(OR(X192&lt;=2,Y192&lt;=2),"Work Culture",IF(Q192&lt;AVERAGEIFS($Q$2:$Q$201,$E$2:$E$201,E192),"Better Salary",IF(IFERROR(DATEDIF(V192,IF(H192="",TODAY(),H192),"y"),0)&gt;=3,"Career Growth","Better Opportunity")))))</f>
        <v/>
      </c>
      <c r="M192" t="s">
        <v>27</v>
      </c>
      <c r="N192" t="s">
        <v>28</v>
      </c>
      <c r="O192">
        <f t="shared" si="10"/>
        <v>25.090489999999999</v>
      </c>
      <c r="P192" t="str">
        <f t="shared" si="11"/>
        <v>20L-30L</v>
      </c>
      <c r="Q192">
        <v>2509049</v>
      </c>
      <c r="R192">
        <v>4</v>
      </c>
      <c r="S192" t="s">
        <v>66</v>
      </c>
      <c r="T192" t="s">
        <v>37</v>
      </c>
      <c r="U192" t="s">
        <v>31</v>
      </c>
      <c r="V192" s="1">
        <v>45402</v>
      </c>
      <c r="W192">
        <v>10.44</v>
      </c>
      <c r="X192">
        <v>3</v>
      </c>
      <c r="Y192">
        <v>4</v>
      </c>
      <c r="Z192">
        <v>0</v>
      </c>
      <c r="AA192">
        <v>53</v>
      </c>
      <c r="AB192">
        <v>30</v>
      </c>
    </row>
    <row r="193" spans="1:28" x14ac:dyDescent="0.35">
      <c r="A193" t="s">
        <v>339</v>
      </c>
      <c r="B193" t="s">
        <v>340</v>
      </c>
      <c r="C193">
        <v>54</v>
      </c>
      <c r="D193" t="s">
        <v>41</v>
      </c>
      <c r="E193" t="s">
        <v>34</v>
      </c>
      <c r="F193" t="s">
        <v>42</v>
      </c>
      <c r="G193" s="1">
        <v>44832</v>
      </c>
      <c r="I193" s="9">
        <f ca="1">DATEDIF(G193,IF(H193="",TODAY(),H193),"Y")+DATEDIF(G193,IF(H193="",TODAY(),H193),"Ym")/12</f>
        <v>3.9166666666666665</v>
      </c>
      <c r="J193" s="7" cm="1">
        <f t="array" aca="1" ref="J193" ca="1">IF(ISNUMBER(I193), I193, DAY (I193) + HOUR (I193)/24)</f>
        <v>3.9166666666666665</v>
      </c>
      <c r="K193" t="str">
        <f ca="1">IF(I193&lt;1,"0-1 yr", IF(I193&lt;3,"0-3 Yrs", IF(I193&lt;5, "3-5 yrs","5+Yrs")))</f>
        <v>3-5 yrs</v>
      </c>
      <c r="L193" t="str">
        <f ca="1">IF(M193&lt;&gt;"Left","",IF(Z193&gt;20,"Work-Life Balance",IF(OR(X193&lt;=2,Y193&lt;=2),"Work Culture",IF(Q193&lt;AVERAGEIFS($Q$2:$Q$201,$E$2:$E$201,E193),"Better Salary",IF(IFERROR(DATEDIF(V193,IF(H193="",TODAY(),H193),"y"),0)&gt;=3,"Career Growth","Better Opportunity")))))</f>
        <v/>
      </c>
      <c r="M193" t="s">
        <v>27</v>
      </c>
      <c r="N193" t="s">
        <v>28</v>
      </c>
      <c r="O193">
        <f t="shared" si="10"/>
        <v>25.097090000000001</v>
      </c>
      <c r="P193" t="str">
        <f t="shared" si="11"/>
        <v>20L-30L</v>
      </c>
      <c r="Q193">
        <v>2509709</v>
      </c>
      <c r="R193">
        <v>3</v>
      </c>
      <c r="S193" t="s">
        <v>98</v>
      </c>
      <c r="T193" t="s">
        <v>30</v>
      </c>
      <c r="U193" t="s">
        <v>122</v>
      </c>
      <c r="W193">
        <v>3.92</v>
      </c>
      <c r="X193">
        <v>5</v>
      </c>
      <c r="Y193">
        <v>3</v>
      </c>
      <c r="Z193">
        <v>4</v>
      </c>
      <c r="AA193">
        <v>16</v>
      </c>
      <c r="AB193">
        <v>4</v>
      </c>
    </row>
    <row r="194" spans="1:28" x14ac:dyDescent="0.35">
      <c r="A194" t="s">
        <v>228</v>
      </c>
      <c r="B194" t="s">
        <v>229</v>
      </c>
      <c r="C194">
        <v>36</v>
      </c>
      <c r="D194" t="s">
        <v>24</v>
      </c>
      <c r="E194" t="s">
        <v>34</v>
      </c>
      <c r="F194" t="s">
        <v>42</v>
      </c>
      <c r="G194" s="1">
        <v>43688</v>
      </c>
      <c r="I194" s="9">
        <f ca="1">DATEDIF(G194,IF(H194="",TODAY(),H194),"Y")+DATEDIF(G194,IF(H194="",TODAY(),H194),"Ym")/12</f>
        <v>7</v>
      </c>
      <c r="J194" s="7" cm="1">
        <f t="array" aca="1" ref="J194" ca="1">IF(ISNUMBER(I194), I194, DAY (I194) + HOUR (I194)/24)</f>
        <v>7</v>
      </c>
      <c r="K194" t="str">
        <f ca="1">IF(I194&lt;1,"0-1 yr", IF(I194&lt;3,"0-3 Yrs", IF(I194&lt;5, "3-5 yrs","5+Yrs")))</f>
        <v>5+Yrs</v>
      </c>
      <c r="L194" t="str">
        <f ca="1">IF(M194&lt;&gt;"Left","",IF(Z194&gt;20,"Work-Life Balance",IF(OR(X194&lt;=2,Y194&lt;=2),"Work Culture",IF(Q194&lt;AVERAGEIFS($Q$2:$Q$201,$E$2:$E$201,E194),"Better Salary",IF(IFERROR(DATEDIF(V194,IF(H194="",TODAY(),H194),"y"),0)&gt;=3,"Career Growth","Better Opportunity")))))</f>
        <v/>
      </c>
      <c r="M194" t="s">
        <v>27</v>
      </c>
      <c r="N194" t="s">
        <v>28</v>
      </c>
      <c r="O194">
        <f t="shared" ref="O194:O201" si="12">Q194*1/100000</f>
        <v>25.442270000000001</v>
      </c>
      <c r="P194" t="str">
        <f t="shared" ref="P194:P225" si="13">IF(Q194*1&lt;600000,"3L-6L",IF(Q194*1&lt;800000,"6L-8L",IF(Q194*1&lt;1000000,"8L-10L",IF(Q194*1&lt;1200000,"10L-12L",IF(Q194*1&lt;1500000,"12L-15L",IF(Q194*1&lt;2000000,"15L-20L","20L-30L"))))))</f>
        <v>20L-30L</v>
      </c>
      <c r="Q194">
        <v>2544227</v>
      </c>
      <c r="R194">
        <v>4</v>
      </c>
      <c r="S194" t="s">
        <v>66</v>
      </c>
      <c r="T194" t="s">
        <v>43</v>
      </c>
      <c r="U194" t="s">
        <v>122</v>
      </c>
      <c r="V194" s="1">
        <v>44391</v>
      </c>
      <c r="W194">
        <v>7.05</v>
      </c>
      <c r="X194">
        <v>1</v>
      </c>
      <c r="Y194">
        <v>2</v>
      </c>
      <c r="Z194">
        <v>6</v>
      </c>
      <c r="AA194">
        <v>13</v>
      </c>
      <c r="AB194">
        <v>25</v>
      </c>
    </row>
    <row r="195" spans="1:28" x14ac:dyDescent="0.35">
      <c r="A195" t="s">
        <v>235</v>
      </c>
      <c r="B195" t="s">
        <v>236</v>
      </c>
      <c r="C195">
        <v>31</v>
      </c>
      <c r="D195" t="s">
        <v>24</v>
      </c>
      <c r="E195" t="s">
        <v>25</v>
      </c>
      <c r="F195" t="s">
        <v>76</v>
      </c>
      <c r="G195" s="1">
        <v>43718</v>
      </c>
      <c r="I195" s="9">
        <f ca="1">DATEDIF(G195,IF(H195="",TODAY(),H195),"Y")+DATEDIF(G195,IF(H195="",TODAY(),H195),"Ym")/12</f>
        <v>6.916666666666667</v>
      </c>
      <c r="J195" s="7" cm="1">
        <f t="array" aca="1" ref="J195" ca="1">IF(ISNUMBER(I195), I195, DAY (I195) + HOUR (I195)/24)</f>
        <v>6.916666666666667</v>
      </c>
      <c r="K195" t="str">
        <f ca="1">IF(I195&lt;1,"0-1 yr", IF(I195&lt;3,"0-3 Yrs", IF(I195&lt;5, "3-5 yrs","5+Yrs")))</f>
        <v>5+Yrs</v>
      </c>
      <c r="L195" t="str">
        <f ca="1">IF(M195&lt;&gt;"Left","",IF(Z195&gt;20,"Work-Life Balance",IF(OR(X195&lt;=2,Y195&lt;=2),"Work Culture",IF(Q195&lt;AVERAGEIFS($Q$2:$Q$201,$E$2:$E$201,E195),"Better Salary",IF(IFERROR(DATEDIF(V195,IF(H195="",TODAY(),H195),"y"),0)&gt;=3,"Career Growth","Better Opportunity")))))</f>
        <v/>
      </c>
      <c r="M195" t="s">
        <v>27</v>
      </c>
      <c r="N195" t="s">
        <v>28</v>
      </c>
      <c r="O195">
        <f t="shared" si="12"/>
        <v>25.516960000000001</v>
      </c>
      <c r="P195" t="str">
        <f t="shared" si="13"/>
        <v>20L-30L</v>
      </c>
      <c r="Q195">
        <v>2551696</v>
      </c>
      <c r="R195">
        <v>3</v>
      </c>
      <c r="S195" t="s">
        <v>36</v>
      </c>
      <c r="T195" t="s">
        <v>37</v>
      </c>
      <c r="U195" t="s">
        <v>106</v>
      </c>
      <c r="V195" s="1">
        <v>46011</v>
      </c>
      <c r="W195">
        <v>6.97</v>
      </c>
      <c r="X195">
        <v>4</v>
      </c>
      <c r="Y195">
        <v>3</v>
      </c>
      <c r="Z195">
        <v>1</v>
      </c>
      <c r="AA195">
        <v>59</v>
      </c>
      <c r="AB195">
        <v>29</v>
      </c>
    </row>
    <row r="196" spans="1:28" x14ac:dyDescent="0.35">
      <c r="A196" t="s">
        <v>119</v>
      </c>
      <c r="B196" t="s">
        <v>120</v>
      </c>
      <c r="C196">
        <v>45</v>
      </c>
      <c r="D196" t="s">
        <v>24</v>
      </c>
      <c r="E196" t="s">
        <v>89</v>
      </c>
      <c r="F196" t="s">
        <v>121</v>
      </c>
      <c r="G196" s="1">
        <v>42522</v>
      </c>
      <c r="I196" s="9">
        <f ca="1">DATEDIF(G196,IF(H196="",TODAY(),H196),"Y")+DATEDIF(G196,IF(H196="",TODAY(),H196),"Ym")/12</f>
        <v>10.25</v>
      </c>
      <c r="J196" s="7" cm="1">
        <f t="array" aca="1" ref="J196" ca="1">IF(ISNUMBER(I196), I196, DAY (I196) + HOUR (I196)/24)</f>
        <v>10.25</v>
      </c>
      <c r="K196" t="str">
        <f ca="1">IF(I196&lt;1,"0-1 yr", IF(I196&lt;3,"0-3 Yrs", IF(I196&lt;5, "3-5 yrs","5+Yrs")))</f>
        <v>5+Yrs</v>
      </c>
      <c r="L196" t="str">
        <f ca="1">IF(M196&lt;&gt;"Left","",IF(Z196&gt;20,"Work-Life Balance",IF(OR(X196&lt;=2,Y196&lt;=2),"Work Culture",IF(Q196&lt;AVERAGEIFS($Q$2:$Q$201,$E$2:$E$201,E196),"Better Salary",IF(IFERROR(DATEDIF(V196,IF(H196="",TODAY(),H196),"y"),0)&gt;=3,"Career Growth","Better Opportunity")))))</f>
        <v/>
      </c>
      <c r="M196" t="s">
        <v>27</v>
      </c>
      <c r="N196" t="s">
        <v>28</v>
      </c>
      <c r="O196">
        <f t="shared" si="12"/>
        <v>25.816980000000001</v>
      </c>
      <c r="P196" t="str">
        <f t="shared" si="13"/>
        <v>20L-30L</v>
      </c>
      <c r="Q196">
        <v>2581698</v>
      </c>
      <c r="R196">
        <v>2</v>
      </c>
      <c r="S196" t="s">
        <v>52</v>
      </c>
      <c r="T196" t="s">
        <v>30</v>
      </c>
      <c r="U196" t="s">
        <v>122</v>
      </c>
      <c r="W196">
        <v>10.25</v>
      </c>
      <c r="X196">
        <v>2</v>
      </c>
      <c r="Y196">
        <v>5</v>
      </c>
      <c r="Z196">
        <v>23</v>
      </c>
      <c r="AA196">
        <v>79</v>
      </c>
      <c r="AB196">
        <v>9</v>
      </c>
    </row>
    <row r="197" spans="1:28" x14ac:dyDescent="0.35">
      <c r="A197" t="s">
        <v>335</v>
      </c>
      <c r="B197" t="s">
        <v>336</v>
      </c>
      <c r="C197">
        <v>56</v>
      </c>
      <c r="D197" t="s">
        <v>24</v>
      </c>
      <c r="E197" t="s">
        <v>89</v>
      </c>
      <c r="F197" t="s">
        <v>121</v>
      </c>
      <c r="G197" s="1">
        <v>44797</v>
      </c>
      <c r="I197" s="9">
        <f ca="1">DATEDIF(G197,IF(H197="",TODAY(),H197),"Y")+DATEDIF(G197,IF(H197="",TODAY(),H197),"Ym")/12</f>
        <v>4</v>
      </c>
      <c r="J197" s="7" cm="1">
        <f t="array" aca="1" ref="J197" ca="1">IF(ISNUMBER(I197), I197, DAY (I197) + HOUR (I197)/24)</f>
        <v>4</v>
      </c>
      <c r="K197" t="str">
        <f ca="1">IF(I197&lt;1,"0-1 yr", IF(I197&lt;3,"0-3 Yrs", IF(I197&lt;5, "3-5 yrs","5+Yrs")))</f>
        <v>3-5 yrs</v>
      </c>
      <c r="L197" t="str">
        <f ca="1">IF(M197&lt;&gt;"Left","",IF(Z197&gt;20,"Work-Life Balance",IF(OR(X197&lt;=2,Y197&lt;=2),"Work Culture",IF(Q197&lt;AVERAGEIFS($Q$2:$Q$201,$E$2:$E$201,E197),"Better Salary",IF(IFERROR(DATEDIF(V197,IF(H197="",TODAY(),H197),"y"),0)&gt;=3,"Career Growth","Better Opportunity")))))</f>
        <v/>
      </c>
      <c r="M197" t="s">
        <v>27</v>
      </c>
      <c r="N197" t="s">
        <v>28</v>
      </c>
      <c r="O197">
        <f t="shared" si="12"/>
        <v>27.54636</v>
      </c>
      <c r="P197" t="str">
        <f t="shared" si="13"/>
        <v>20L-30L</v>
      </c>
      <c r="Q197">
        <v>2754636</v>
      </c>
      <c r="R197">
        <v>1</v>
      </c>
      <c r="S197" t="s">
        <v>29</v>
      </c>
      <c r="T197" t="s">
        <v>43</v>
      </c>
      <c r="U197" t="s">
        <v>84</v>
      </c>
      <c r="W197">
        <v>4.0199999999999996</v>
      </c>
      <c r="X197">
        <v>1</v>
      </c>
      <c r="Y197">
        <v>4</v>
      </c>
      <c r="Z197">
        <v>24</v>
      </c>
      <c r="AA197">
        <v>79</v>
      </c>
      <c r="AB197">
        <v>39</v>
      </c>
    </row>
    <row r="198" spans="1:28" x14ac:dyDescent="0.35">
      <c r="A198" t="s">
        <v>322</v>
      </c>
      <c r="B198" t="s">
        <v>268</v>
      </c>
      <c r="C198">
        <v>43</v>
      </c>
      <c r="D198" t="s">
        <v>41</v>
      </c>
      <c r="E198" t="s">
        <v>56</v>
      </c>
      <c r="F198" t="s">
        <v>157</v>
      </c>
      <c r="G198" s="1">
        <v>44658</v>
      </c>
      <c r="I198" s="9">
        <f ca="1">DATEDIF(G198,IF(H198="",TODAY(),H198),"Y")+DATEDIF(G198,IF(H198="",TODAY(),H198),"Ym")/12</f>
        <v>4.333333333333333</v>
      </c>
      <c r="J198" s="7" cm="1">
        <f t="array" aca="1" ref="J198" ca="1">IF(ISNUMBER(I198), I198, DAY (I198) + HOUR (I198)/24)</f>
        <v>4.333333333333333</v>
      </c>
      <c r="K198" t="str">
        <f ca="1">IF(I198&lt;1,"0-1 yr", IF(I198&lt;3,"0-3 Yrs", IF(I198&lt;5, "3-5 yrs","5+Yrs")))</f>
        <v>3-5 yrs</v>
      </c>
      <c r="L198" t="str">
        <f ca="1">IF(M198&lt;&gt;"Left","",IF(Z198&gt;20,"Work-Life Balance",IF(OR(X198&lt;=2,Y198&lt;=2),"Work Culture",IF(Q198&lt;AVERAGEIFS($Q$2:$Q$201,$E$2:$E$201,E198),"Better Salary",IF(IFERROR(DATEDIF(V198,IF(H198="",TODAY(),H198),"y"),0)&gt;=3,"Career Growth","Better Opportunity")))))</f>
        <v/>
      </c>
      <c r="M198" t="s">
        <v>27</v>
      </c>
      <c r="N198" t="s">
        <v>28</v>
      </c>
      <c r="O198">
        <f t="shared" si="12"/>
        <v>27.602709999999998</v>
      </c>
      <c r="P198" t="str">
        <f t="shared" si="13"/>
        <v>20L-30L</v>
      </c>
      <c r="Q198">
        <v>2760271</v>
      </c>
      <c r="R198">
        <v>3</v>
      </c>
      <c r="S198" t="s">
        <v>73</v>
      </c>
      <c r="T198" t="s">
        <v>43</v>
      </c>
      <c r="U198" t="s">
        <v>87</v>
      </c>
      <c r="W198">
        <v>4.4000000000000004</v>
      </c>
      <c r="X198">
        <v>4</v>
      </c>
      <c r="Y198">
        <v>2</v>
      </c>
      <c r="Z198">
        <v>5</v>
      </c>
      <c r="AA198">
        <v>19</v>
      </c>
      <c r="AB198">
        <v>44</v>
      </c>
    </row>
    <row r="199" spans="1:28" x14ac:dyDescent="0.35">
      <c r="A199" t="s">
        <v>39</v>
      </c>
      <c r="B199" t="s">
        <v>40</v>
      </c>
      <c r="C199">
        <v>50</v>
      </c>
      <c r="D199" t="s">
        <v>41</v>
      </c>
      <c r="E199" t="s">
        <v>34</v>
      </c>
      <c r="F199" t="s">
        <v>42</v>
      </c>
      <c r="G199" s="1">
        <v>42019</v>
      </c>
      <c r="I199" s="9">
        <f ca="1">DATEDIF(G199,IF(H199="",TODAY(),H199),"Y")+DATEDIF(G199,IF(H199="",TODAY(),H199),"Ym")/12</f>
        <v>11.583333333333334</v>
      </c>
      <c r="J199" s="7" cm="1">
        <f t="array" aca="1" ref="J199" ca="1">IF(ISNUMBER(I199), I199, DAY (I199) + HOUR (I199)/24)</f>
        <v>11.583333333333334</v>
      </c>
      <c r="K199" t="str">
        <f ca="1">IF(I199&lt;1,"0-1 yr", IF(I199&lt;3,"0-3 Yrs", IF(I199&lt;5, "3-5 yrs","5+Yrs")))</f>
        <v>5+Yrs</v>
      </c>
      <c r="L199" t="str">
        <f ca="1">IF(M199&lt;&gt;"Left","",IF(Z199&gt;20,"Work-Life Balance",IF(OR(X199&lt;=2,Y199&lt;=2),"Work Culture",IF(Q199&lt;AVERAGEIFS($Q$2:$Q$201,$E$2:$E$201,E199),"Better Salary",IF(IFERROR(DATEDIF(V199,IF(H199="",TODAY(),H199),"y"),0)&gt;=3,"Career Growth","Better Opportunity")))))</f>
        <v/>
      </c>
      <c r="M199" t="s">
        <v>27</v>
      </c>
      <c r="N199" t="s">
        <v>28</v>
      </c>
      <c r="O199">
        <f t="shared" si="12"/>
        <v>27.605810000000002</v>
      </c>
      <c r="P199" t="str">
        <f t="shared" si="13"/>
        <v>20L-30L</v>
      </c>
      <c r="Q199">
        <v>2760581</v>
      </c>
      <c r="R199">
        <v>2</v>
      </c>
      <c r="S199" t="s">
        <v>36</v>
      </c>
      <c r="T199" t="s">
        <v>43</v>
      </c>
      <c r="U199" t="s">
        <v>44</v>
      </c>
      <c r="W199">
        <v>11.62</v>
      </c>
      <c r="X199">
        <v>4</v>
      </c>
      <c r="Y199">
        <v>5</v>
      </c>
      <c r="Z199">
        <v>18</v>
      </c>
      <c r="AA199">
        <v>32</v>
      </c>
      <c r="AB199">
        <v>3</v>
      </c>
    </row>
    <row r="200" spans="1:28" x14ac:dyDescent="0.35">
      <c r="A200" t="s">
        <v>141</v>
      </c>
      <c r="B200" t="s">
        <v>142</v>
      </c>
      <c r="C200">
        <v>50</v>
      </c>
      <c r="D200" t="s">
        <v>24</v>
      </c>
      <c r="E200" t="s">
        <v>34</v>
      </c>
      <c r="F200" t="s">
        <v>42</v>
      </c>
      <c r="G200" s="1">
        <v>42808</v>
      </c>
      <c r="I200" s="9">
        <f ca="1">DATEDIF(G200,IF(H200="",TODAY(),H200),"Y")+DATEDIF(G200,IF(H200="",TODAY(),H200),"Ym")/12</f>
        <v>9.4166666666666661</v>
      </c>
      <c r="J200" s="7" cm="1">
        <f t="array" aca="1" ref="J200" ca="1">IF(ISNUMBER(I200), I200, DAY (I200) + HOUR (I200)/24)</f>
        <v>9.4166666666666661</v>
      </c>
      <c r="K200" t="str">
        <f ca="1">IF(I200&lt;1,"0-1 yr", IF(I200&lt;3,"0-3 Yrs", IF(I200&lt;5, "3-5 yrs","5+Yrs")))</f>
        <v>5+Yrs</v>
      </c>
      <c r="L200" t="str">
        <f ca="1">IF(M200&lt;&gt;"Left","",IF(Z200&gt;20,"Work-Life Balance",IF(OR(X200&lt;=2,Y200&lt;=2),"Work Culture",IF(Q200&lt;AVERAGEIFS($Q$2:$Q$201,$E$2:$E$201,E200),"Better Salary",IF(IFERROR(DATEDIF(V200,IF(H200="",TODAY(),H200),"y"),0)&gt;=3,"Career Growth","Better Opportunity")))))</f>
        <v/>
      </c>
      <c r="M200" t="s">
        <v>27</v>
      </c>
      <c r="N200" t="s">
        <v>28</v>
      </c>
      <c r="O200">
        <f t="shared" si="12"/>
        <v>27.79383</v>
      </c>
      <c r="P200" t="str">
        <f t="shared" si="13"/>
        <v>20L-30L</v>
      </c>
      <c r="Q200">
        <v>2779383</v>
      </c>
      <c r="R200">
        <v>3</v>
      </c>
      <c r="S200" t="s">
        <v>52</v>
      </c>
      <c r="T200" t="s">
        <v>37</v>
      </c>
      <c r="U200" t="s">
        <v>122</v>
      </c>
      <c r="W200">
        <v>9.4600000000000009</v>
      </c>
      <c r="X200">
        <v>3</v>
      </c>
      <c r="Y200">
        <v>4</v>
      </c>
      <c r="Z200">
        <v>3</v>
      </c>
      <c r="AA200">
        <v>33</v>
      </c>
      <c r="AB200">
        <v>39</v>
      </c>
    </row>
    <row r="201" spans="1:28" x14ac:dyDescent="0.35">
      <c r="A201" t="s">
        <v>104</v>
      </c>
      <c r="B201" t="s">
        <v>105</v>
      </c>
      <c r="C201">
        <v>54</v>
      </c>
      <c r="D201" t="s">
        <v>41</v>
      </c>
      <c r="E201" t="s">
        <v>34</v>
      </c>
      <c r="F201" t="s">
        <v>42</v>
      </c>
      <c r="G201" s="1">
        <v>42416</v>
      </c>
      <c r="I201" s="9">
        <f ca="1">DATEDIF(G201,IF(H201="",TODAY(),H201),"Y")+DATEDIF(G201,IF(H201="",TODAY(),H201),"Ym")/12</f>
        <v>10.5</v>
      </c>
      <c r="J201" s="7" cm="1">
        <f t="array" aca="1" ref="J201" ca="1">IF(ISNUMBER(I201), I201, DAY (I201) + HOUR (I201)/24)</f>
        <v>10.5</v>
      </c>
      <c r="K201" t="str">
        <f ca="1">IF(I201&lt;1,"0-1 yr", IF(I201&lt;3,"0-3 Yrs", IF(I201&lt;5, "3-5 yrs","5+Yrs")))</f>
        <v>5+Yrs</v>
      </c>
      <c r="L201" t="str">
        <f ca="1">IF(M201&lt;&gt;"Left","",IF(Z201&gt;20,"Work-Life Balance",IF(OR(X201&lt;=2,Y201&lt;=2),"Work Culture",IF(Q201&lt;AVERAGEIFS($Q$2:$Q$201,$E$2:$E$201,E201),"Better Salary",IF(IFERROR(DATEDIF(V201,IF(H201="",TODAY(),H201),"y"),0)&gt;=3,"Career Growth","Better Opportunity")))))</f>
        <v/>
      </c>
      <c r="M201" t="s">
        <v>27</v>
      </c>
      <c r="N201" t="s">
        <v>28</v>
      </c>
      <c r="O201">
        <f t="shared" si="12"/>
        <v>28.280899999999999</v>
      </c>
      <c r="P201" t="str">
        <f t="shared" si="13"/>
        <v>20L-30L</v>
      </c>
      <c r="Q201">
        <v>2828090</v>
      </c>
      <c r="R201">
        <v>3</v>
      </c>
      <c r="S201" t="s">
        <v>66</v>
      </c>
      <c r="T201" t="s">
        <v>37</v>
      </c>
      <c r="U201" t="s">
        <v>106</v>
      </c>
      <c r="V201" s="1">
        <v>43954</v>
      </c>
      <c r="W201">
        <v>10.54</v>
      </c>
      <c r="X201">
        <v>3</v>
      </c>
      <c r="Y201">
        <v>1</v>
      </c>
      <c r="Z201">
        <v>0</v>
      </c>
      <c r="AA201">
        <v>73</v>
      </c>
      <c r="AB201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selection activeCell="A10" sqref="A10"/>
    </sheetView>
  </sheetViews>
  <sheetFormatPr defaultRowHeight="14.5" x14ac:dyDescent="0.35"/>
  <cols>
    <col min="1" max="1" width="13.08984375" customWidth="1"/>
    <col min="2" max="2" width="17.08984375" customWidth="1"/>
    <col min="5" max="5" width="14.81640625" customWidth="1"/>
    <col min="6" max="6" width="11.81640625" customWidth="1"/>
    <col min="7" max="7" width="17.6328125" customWidth="1"/>
  </cols>
  <sheetData>
    <row r="1" spans="1:7" x14ac:dyDescent="0.35">
      <c r="A1" s="4" t="s">
        <v>4</v>
      </c>
      <c r="B1" s="5" t="s">
        <v>458</v>
      </c>
      <c r="C1" s="5" t="s">
        <v>27</v>
      </c>
      <c r="D1" s="5" t="s">
        <v>69</v>
      </c>
      <c r="E1" s="5" t="s">
        <v>459</v>
      </c>
      <c r="F1" s="5" t="s">
        <v>460</v>
      </c>
      <c r="G1" s="5" t="s">
        <v>461</v>
      </c>
    </row>
    <row r="2" spans="1:7" x14ac:dyDescent="0.35">
      <c r="A2" s="3" t="s">
        <v>64</v>
      </c>
      <c r="B2">
        <v>39</v>
      </c>
      <c r="C2">
        <v>31</v>
      </c>
      <c r="D2">
        <v>8</v>
      </c>
      <c r="E2">
        <v>0.21</v>
      </c>
      <c r="F2">
        <v>1116063.49</v>
      </c>
      <c r="G2">
        <v>3.26</v>
      </c>
    </row>
    <row r="3" spans="1:7" x14ac:dyDescent="0.35">
      <c r="A3" s="3" t="s">
        <v>34</v>
      </c>
      <c r="B3">
        <v>47</v>
      </c>
      <c r="C3">
        <v>40</v>
      </c>
      <c r="D3">
        <v>7</v>
      </c>
      <c r="E3">
        <v>0.15</v>
      </c>
      <c r="F3">
        <v>1132205.51</v>
      </c>
      <c r="G3">
        <v>3.57</v>
      </c>
    </row>
    <row r="4" spans="1:7" x14ac:dyDescent="0.35">
      <c r="A4" s="3" t="s">
        <v>25</v>
      </c>
      <c r="B4">
        <v>36</v>
      </c>
      <c r="C4">
        <v>26</v>
      </c>
      <c r="D4">
        <v>10</v>
      </c>
      <c r="E4">
        <v>0.28000000000000003</v>
      </c>
      <c r="F4">
        <v>951663.5</v>
      </c>
      <c r="G4">
        <v>3.33</v>
      </c>
    </row>
    <row r="5" spans="1:7" x14ac:dyDescent="0.35">
      <c r="A5" s="3" t="s">
        <v>89</v>
      </c>
      <c r="B5">
        <v>33</v>
      </c>
      <c r="C5">
        <v>27</v>
      </c>
      <c r="D5">
        <v>6</v>
      </c>
      <c r="E5">
        <v>0.18</v>
      </c>
      <c r="F5">
        <v>1093940.42</v>
      </c>
      <c r="G5">
        <v>3.21</v>
      </c>
    </row>
    <row r="6" spans="1:7" x14ac:dyDescent="0.35">
      <c r="A6" s="3" t="s">
        <v>56</v>
      </c>
      <c r="B6">
        <v>45</v>
      </c>
      <c r="C6">
        <v>38</v>
      </c>
      <c r="D6">
        <v>7</v>
      </c>
      <c r="E6">
        <v>0.16</v>
      </c>
      <c r="F6">
        <v>1309921</v>
      </c>
      <c r="G6">
        <v>3.53</v>
      </c>
    </row>
    <row r="9" spans="1:7" x14ac:dyDescent="0.35">
      <c r="C9">
        <f>F15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HR_Data</vt:lpstr>
      <vt:lpstr>Dashboard_Summary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Hemlata Sharma</cp:lastModifiedBy>
  <dcterms:created xsi:type="dcterms:W3CDTF">2026-08-30T13:19:45Z</dcterms:created>
  <dcterms:modified xsi:type="dcterms:W3CDTF">2026-09-03T16:04:45Z</dcterms:modified>
</cp:coreProperties>
</file>